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ure\Projects\BOC\Gitlab\erp-and-frp-in-program-comprehension\Main_Study_Part\01-Data-Code_Snippets\"/>
    </mc:Choice>
  </mc:AlternateContent>
  <xr:revisionPtr revIDLastSave="0" documentId="13_ncr:1_{E8BA4643-D0D1-4CCA-9469-03694E5A0486}" xr6:coauthVersionLast="47" xr6:coauthVersionMax="47" xr10:uidLastSave="{00000000-0000-0000-0000-000000000000}"/>
  <bookViews>
    <workbookView xWindow="19090" yWindow="-4620" windowWidth="38620" windowHeight="21220" activeTab="2" xr2:uid="{00000000-000D-0000-FFFF-FFFF00000000}"/>
  </bookViews>
  <sheets>
    <sheet name="snippets" sheetId="1" r:id="rId1"/>
    <sheet name="Result_check" sheetId="2" r:id="rId2"/>
    <sheet name="P003 P004" sheetId="4" r:id="rId3"/>
    <sheet name="Answer_Button_Distribution" sheetId="3" r:id="rId4"/>
  </sheets>
  <definedNames>
    <definedName name="_xlnm._FilterDatabase" localSheetId="3" hidden="1">Answer_Button_Distribution!$A$2:$J$146</definedName>
    <definedName name="_xlnm._FilterDatabase" localSheetId="0" hidden="1">Result_check!$A$1:$B$145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8" i="4" l="1" a="1"/>
  <c r="P78" i="4" s="1"/>
  <c r="P77" i="4" a="1"/>
  <c r="P77" i="4" s="1"/>
  <c r="P76" i="4" a="1"/>
  <c r="P76" i="4" s="1"/>
  <c r="P75" i="4" a="1"/>
  <c r="P75" i="4" s="1"/>
  <c r="P74" i="4" a="1"/>
  <c r="P74" i="4" s="1"/>
  <c r="P73" i="4" a="1"/>
  <c r="P73" i="4" s="1"/>
  <c r="P72" i="4" a="1"/>
  <c r="P72" i="4" s="1"/>
  <c r="P71" i="4" a="1"/>
  <c r="P71" i="4" s="1"/>
  <c r="P70" i="4" a="1"/>
  <c r="P70" i="4" s="1"/>
  <c r="P69" i="4" a="1"/>
  <c r="P69" i="4" s="1"/>
  <c r="P68" i="4" a="1"/>
  <c r="P68" i="4" s="1"/>
  <c r="P67" i="4" a="1"/>
  <c r="P67" i="4" s="1"/>
  <c r="P66" i="4" a="1"/>
  <c r="P66" i="4" s="1"/>
  <c r="P65" i="4" a="1"/>
  <c r="P65" i="4" s="1"/>
  <c r="P64" i="4" a="1"/>
  <c r="P64" i="4" s="1"/>
  <c r="P63" i="4" a="1"/>
  <c r="P63" i="4" s="1"/>
  <c r="P62" i="4" a="1"/>
  <c r="P62" i="4" s="1"/>
  <c r="P61" i="4" a="1"/>
  <c r="P61" i="4" s="1"/>
  <c r="P60" i="4" a="1"/>
  <c r="P60" i="4" s="1"/>
  <c r="P59" i="4" a="1"/>
  <c r="P59" i="4" s="1"/>
  <c r="P58" i="4" a="1"/>
  <c r="P58" i="4" s="1"/>
  <c r="P57" i="4" a="1"/>
  <c r="P57" i="4" s="1"/>
  <c r="P56" i="4" a="1"/>
  <c r="P56" i="4" s="1"/>
  <c r="P55" i="4" a="1"/>
  <c r="P55" i="4" s="1"/>
  <c r="P54" i="4" a="1"/>
  <c r="P54" i="4" s="1"/>
  <c r="P53" i="4" a="1"/>
  <c r="P53" i="4" s="1"/>
  <c r="P52" i="4" a="1"/>
  <c r="P52" i="4" s="1"/>
  <c r="P51" i="4" a="1"/>
  <c r="P51" i="4" s="1"/>
  <c r="P50" i="4" a="1"/>
  <c r="P50" i="4" s="1"/>
  <c r="P49" i="4" a="1"/>
  <c r="P49" i="4" s="1"/>
  <c r="P48" i="4" a="1"/>
  <c r="P48" i="4" s="1"/>
  <c r="P47" i="4" a="1"/>
  <c r="P47" i="4" s="1"/>
  <c r="P46" i="4" a="1"/>
  <c r="P46" i="4" s="1"/>
  <c r="P45" i="4" a="1"/>
  <c r="P45" i="4" s="1"/>
  <c r="P44" i="4" a="1"/>
  <c r="P44" i="4" s="1"/>
  <c r="P43" i="4" a="1"/>
  <c r="P43" i="4" s="1"/>
  <c r="P42" i="4" a="1"/>
  <c r="P42" i="4" s="1"/>
  <c r="P41" i="4" a="1"/>
  <c r="P41" i="4" s="1"/>
  <c r="P40" i="4" a="1"/>
  <c r="P40" i="4" s="1"/>
  <c r="P39" i="4" a="1"/>
  <c r="P39" i="4" s="1"/>
  <c r="P38" i="4" a="1"/>
  <c r="P38" i="4" s="1"/>
  <c r="P37" i="4" a="1"/>
  <c r="P37" i="4" s="1"/>
  <c r="P36" i="4" a="1"/>
  <c r="P36" i="4" s="1"/>
  <c r="P35" i="4" a="1"/>
  <c r="P35" i="4" s="1"/>
  <c r="P34" i="4" a="1"/>
  <c r="P34" i="4" s="1"/>
  <c r="P33" i="4" a="1"/>
  <c r="P33" i="4" s="1"/>
  <c r="P32" i="4" a="1"/>
  <c r="P32" i="4" s="1"/>
  <c r="P31" i="4" a="1"/>
  <c r="P31" i="4" s="1"/>
  <c r="P30" i="4" a="1"/>
  <c r="P30" i="4" s="1"/>
  <c r="P29" i="4" a="1"/>
  <c r="P29" i="4" s="1"/>
  <c r="P28" i="4" a="1"/>
  <c r="P28" i="4" s="1"/>
  <c r="P27" i="4" a="1"/>
  <c r="P27" i="4" s="1"/>
  <c r="P26" i="4" a="1"/>
  <c r="P26" i="4" s="1"/>
  <c r="P25" i="4" a="1"/>
  <c r="P25" i="4" s="1"/>
  <c r="P24" i="4" a="1"/>
  <c r="P24" i="4" s="1"/>
  <c r="P23" i="4" a="1"/>
  <c r="P23" i="4" s="1"/>
  <c r="P22" i="4" a="1"/>
  <c r="P22" i="4" s="1"/>
  <c r="P21" i="4" a="1"/>
  <c r="P21" i="4" s="1"/>
  <c r="P20" i="4" a="1"/>
  <c r="P20" i="4" s="1"/>
  <c r="P19" i="4" a="1"/>
  <c r="P19" i="4" s="1"/>
  <c r="P18" i="4" a="1"/>
  <c r="P18" i="4" s="1"/>
  <c r="P17" i="4" a="1"/>
  <c r="P17" i="4" s="1"/>
  <c r="P16" i="4" a="1"/>
  <c r="P16" i="4" s="1"/>
  <c r="P15" i="4" a="1"/>
  <c r="P15" i="4" s="1"/>
  <c r="P13" i="4" a="1"/>
  <c r="P13" i="4" s="1"/>
  <c r="P12" i="4" a="1"/>
  <c r="P12" i="4" s="1"/>
  <c r="P11" i="4" a="1"/>
  <c r="P11" i="4" s="1"/>
  <c r="P10" i="4" a="1"/>
  <c r="P10" i="4" s="1"/>
  <c r="P9" i="4" a="1"/>
  <c r="P9" i="4" s="1"/>
  <c r="P8" i="4" a="1"/>
  <c r="P8" i="4" s="1"/>
  <c r="P7" i="4" a="1"/>
  <c r="P7" i="4" s="1"/>
  <c r="P14" i="4" a="1"/>
  <c r="P14" i="4" s="1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2" i="2"/>
  <c r="D2" i="2" s="1"/>
  <c r="E146" i="3" a="1"/>
  <c r="E146" i="3" s="1"/>
  <c r="H146" i="3" s="1"/>
  <c r="E145" i="3" a="1"/>
  <c r="E145" i="3" s="1"/>
  <c r="E144" i="3" a="1"/>
  <c r="E144" i="3" s="1"/>
  <c r="H144" i="3" s="1"/>
  <c r="E143" i="3" a="1"/>
  <c r="E143" i="3" s="1"/>
  <c r="H143" i="3" s="1"/>
  <c r="E142" i="3" a="1"/>
  <c r="E142" i="3" s="1"/>
  <c r="H142" i="3" s="1"/>
  <c r="E141" i="3" a="1"/>
  <c r="E141" i="3" s="1"/>
  <c r="H141" i="3" s="1"/>
  <c r="E140" i="3" a="1"/>
  <c r="E140" i="3" s="1"/>
  <c r="H140" i="3" s="1"/>
  <c r="E139" i="3" a="1"/>
  <c r="E139" i="3" s="1"/>
  <c r="E138" i="3" a="1"/>
  <c r="E138" i="3" s="1"/>
  <c r="H138" i="3" s="1"/>
  <c r="E137" i="3" a="1"/>
  <c r="E137" i="3" s="1"/>
  <c r="H137" i="3" s="1"/>
  <c r="E136" i="3" a="1"/>
  <c r="E136" i="3" s="1"/>
  <c r="H136" i="3" s="1"/>
  <c r="E135" i="3" a="1"/>
  <c r="E135" i="3" s="1"/>
  <c r="H135" i="3" s="1"/>
  <c r="E134" i="3" a="1"/>
  <c r="E134" i="3" s="1"/>
  <c r="H134" i="3" s="1"/>
  <c r="E133" i="3" a="1"/>
  <c r="E133" i="3" s="1"/>
  <c r="H133" i="3" s="1"/>
  <c r="E132" i="3" a="1"/>
  <c r="E132" i="3" s="1"/>
  <c r="H132" i="3" s="1"/>
  <c r="E131" i="3" a="1"/>
  <c r="E131" i="3" s="1"/>
  <c r="H131" i="3" s="1"/>
  <c r="E130" i="3" a="1"/>
  <c r="E130" i="3" s="1"/>
  <c r="E129" i="3" a="1"/>
  <c r="E129" i="3" s="1"/>
  <c r="H129" i="3" s="1"/>
  <c r="E122" i="3" a="1"/>
  <c r="E122" i="3" s="1"/>
  <c r="H122" i="3" s="1"/>
  <c r="E121" i="3" a="1"/>
  <c r="E121" i="3" s="1"/>
  <c r="H121" i="3" s="1"/>
  <c r="E120" i="3" a="1"/>
  <c r="E120" i="3" s="1"/>
  <c r="H120" i="3" s="1"/>
  <c r="E119" i="3" a="1"/>
  <c r="E119" i="3" s="1"/>
  <c r="H119" i="3" s="1"/>
  <c r="E118" i="3" a="1"/>
  <c r="E118" i="3" s="1"/>
  <c r="E117" i="3" a="1"/>
  <c r="E117" i="3" s="1"/>
  <c r="H117" i="3" s="1"/>
  <c r="E92" i="3" a="1"/>
  <c r="E92" i="3" s="1"/>
  <c r="H92" i="3" s="1"/>
  <c r="E91" i="3" a="1"/>
  <c r="E91" i="3" s="1"/>
  <c r="H91" i="3" s="1"/>
  <c r="E90" i="3" a="1"/>
  <c r="E90" i="3" s="1"/>
  <c r="H90" i="3" s="1"/>
  <c r="E89" i="3" a="1"/>
  <c r="E89" i="3" s="1"/>
  <c r="H89" i="3" s="1"/>
  <c r="E88" i="3" a="1"/>
  <c r="E88" i="3" s="1"/>
  <c r="E87" i="3" a="1"/>
  <c r="E87" i="3" s="1"/>
  <c r="H87" i="3" s="1"/>
  <c r="E62" i="3" a="1"/>
  <c r="E62" i="3" s="1"/>
  <c r="H62" i="3" s="1"/>
  <c r="E61" i="3" a="1"/>
  <c r="E61" i="3" s="1"/>
  <c r="H61" i="3" s="1"/>
  <c r="E60" i="3" a="1"/>
  <c r="E60" i="3" s="1"/>
  <c r="H60" i="3" s="1"/>
  <c r="E59" i="3" a="1"/>
  <c r="E59" i="3" s="1"/>
  <c r="H59" i="3" s="1"/>
  <c r="E58" i="3" a="1"/>
  <c r="E58" i="3" s="1"/>
  <c r="E57" i="3" a="1"/>
  <c r="E57" i="3" s="1"/>
  <c r="H57" i="3" s="1"/>
  <c r="E14" i="3" a="1"/>
  <c r="E14" i="3" s="1"/>
  <c r="H14" i="3" s="1"/>
  <c r="E13" i="3" a="1"/>
  <c r="E13" i="3" s="1"/>
  <c r="H13" i="3" s="1"/>
  <c r="E12" i="3" a="1"/>
  <c r="E12" i="3" s="1"/>
  <c r="H12" i="3" s="1"/>
  <c r="E11" i="3" a="1"/>
  <c r="E11" i="3" s="1"/>
  <c r="H11" i="3" s="1"/>
  <c r="E10" i="3" a="1"/>
  <c r="E10" i="3" s="1"/>
  <c r="E9" i="3" a="1"/>
  <c r="E9" i="3" s="1"/>
  <c r="H9" i="3" s="1"/>
  <c r="AB19" i="3"/>
  <c r="AB18" i="3"/>
  <c r="AB14" i="3"/>
  <c r="H35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3" i="3"/>
  <c r="E4" i="3" a="1"/>
  <c r="E4" i="3" s="1"/>
  <c r="H4" i="3" s="1"/>
  <c r="E5" i="3" a="1"/>
  <c r="E5" i="3" s="1"/>
  <c r="H5" i="3" s="1"/>
  <c r="E6" i="3" a="1"/>
  <c r="E6" i="3" s="1"/>
  <c r="H6" i="3" s="1"/>
  <c r="E7" i="3" a="1"/>
  <c r="E7" i="3" s="1"/>
  <c r="H7" i="3" s="1"/>
  <c r="E8" i="3" a="1"/>
  <c r="E8" i="3" s="1"/>
  <c r="H8" i="3" s="1"/>
  <c r="E15" i="3" a="1"/>
  <c r="E15" i="3" s="1"/>
  <c r="H15" i="3" s="1"/>
  <c r="E16" i="3" a="1"/>
  <c r="E16" i="3" s="1"/>
  <c r="H16" i="3" s="1"/>
  <c r="E17" i="3" a="1"/>
  <c r="E17" i="3" s="1"/>
  <c r="H17" i="3" s="1"/>
  <c r="E18" i="3" a="1"/>
  <c r="E18" i="3" s="1"/>
  <c r="H18" i="3" s="1"/>
  <c r="E19" i="3" a="1"/>
  <c r="E19" i="3" s="1"/>
  <c r="H19" i="3" s="1"/>
  <c r="E20" i="3" a="1"/>
  <c r="E20" i="3" s="1"/>
  <c r="H20" i="3" s="1"/>
  <c r="E21" i="3" a="1"/>
  <c r="E21" i="3" s="1"/>
  <c r="H21" i="3" s="1"/>
  <c r="E22" i="3" a="1"/>
  <c r="E22" i="3" s="1"/>
  <c r="H22" i="3" s="1"/>
  <c r="E23" i="3" a="1"/>
  <c r="E23" i="3" s="1"/>
  <c r="H23" i="3" s="1"/>
  <c r="E24" i="3" a="1"/>
  <c r="E24" i="3" s="1"/>
  <c r="H24" i="3" s="1"/>
  <c r="E25" i="3" a="1"/>
  <c r="E25" i="3" s="1"/>
  <c r="H25" i="3" s="1"/>
  <c r="E26" i="3" a="1"/>
  <c r="E26" i="3" s="1"/>
  <c r="H26" i="3" s="1"/>
  <c r="E27" i="3" a="1"/>
  <c r="E27" i="3" s="1"/>
  <c r="H27" i="3" s="1"/>
  <c r="E28" i="3" a="1"/>
  <c r="E28" i="3" s="1"/>
  <c r="H28" i="3" s="1"/>
  <c r="E29" i="3" a="1"/>
  <c r="E29" i="3" s="1"/>
  <c r="H29" i="3" s="1"/>
  <c r="E30" i="3" a="1"/>
  <c r="E30" i="3" s="1"/>
  <c r="H30" i="3" s="1"/>
  <c r="E31" i="3" a="1"/>
  <c r="E31" i="3" s="1"/>
  <c r="H31" i="3" s="1"/>
  <c r="E32" i="3" a="1"/>
  <c r="E32" i="3" s="1"/>
  <c r="H32" i="3" s="1"/>
  <c r="H33" i="3"/>
  <c r="H34" i="3"/>
  <c r="H36" i="3"/>
  <c r="H37" i="3"/>
  <c r="H38" i="3"/>
  <c r="E39" i="3" a="1"/>
  <c r="E39" i="3" s="1"/>
  <c r="H39" i="3" s="1"/>
  <c r="E40" i="3" a="1"/>
  <c r="E40" i="3" s="1"/>
  <c r="H40" i="3" s="1"/>
  <c r="E41" i="3" a="1"/>
  <c r="E41" i="3" s="1"/>
  <c r="H41" i="3" s="1"/>
  <c r="E42" i="3" a="1"/>
  <c r="E42" i="3" s="1"/>
  <c r="H42" i="3" s="1"/>
  <c r="E43" i="3" a="1"/>
  <c r="E43" i="3" s="1"/>
  <c r="H43" i="3" s="1"/>
  <c r="E44" i="3" a="1"/>
  <c r="E44" i="3" s="1"/>
  <c r="H44" i="3" s="1"/>
  <c r="E45" i="3" a="1"/>
  <c r="E45" i="3" s="1"/>
  <c r="H45" i="3" s="1"/>
  <c r="E46" i="3" a="1"/>
  <c r="E46" i="3" s="1"/>
  <c r="H46" i="3" s="1"/>
  <c r="E47" i="3" a="1"/>
  <c r="E47" i="3" s="1"/>
  <c r="H47" i="3" s="1"/>
  <c r="E48" i="3" a="1"/>
  <c r="E48" i="3" s="1"/>
  <c r="H48" i="3" s="1"/>
  <c r="E49" i="3" a="1"/>
  <c r="E49" i="3" s="1"/>
  <c r="H49" i="3" s="1"/>
  <c r="E50" i="3" a="1"/>
  <c r="E50" i="3" s="1"/>
  <c r="H50" i="3" s="1"/>
  <c r="E51" i="3" a="1"/>
  <c r="E51" i="3" s="1"/>
  <c r="H51" i="3" s="1"/>
  <c r="E52" i="3" a="1"/>
  <c r="E52" i="3" s="1"/>
  <c r="H52" i="3" s="1"/>
  <c r="E53" i="3" a="1"/>
  <c r="E53" i="3" s="1"/>
  <c r="H53" i="3" s="1"/>
  <c r="E54" i="3" a="1"/>
  <c r="E54" i="3" s="1"/>
  <c r="H54" i="3" s="1"/>
  <c r="E55" i="3" a="1"/>
  <c r="E55" i="3" s="1"/>
  <c r="H55" i="3" s="1"/>
  <c r="E56" i="3" a="1"/>
  <c r="E56" i="3" s="1"/>
  <c r="H56" i="3" s="1"/>
  <c r="E63" i="3" a="1"/>
  <c r="E63" i="3" s="1"/>
  <c r="H63" i="3" s="1"/>
  <c r="E64" i="3" a="1"/>
  <c r="E64" i="3" s="1"/>
  <c r="H64" i="3" s="1"/>
  <c r="E65" i="3" a="1"/>
  <c r="E65" i="3" s="1"/>
  <c r="H65" i="3" s="1"/>
  <c r="E66" i="3" a="1"/>
  <c r="E66" i="3" s="1"/>
  <c r="H66" i="3" s="1"/>
  <c r="E67" i="3" a="1"/>
  <c r="E67" i="3" s="1"/>
  <c r="H67" i="3" s="1"/>
  <c r="E68" i="3" a="1"/>
  <c r="E68" i="3" s="1"/>
  <c r="H68" i="3" s="1"/>
  <c r="E69" i="3" a="1"/>
  <c r="E69" i="3" s="1"/>
  <c r="H69" i="3" s="1"/>
  <c r="E70" i="3" a="1"/>
  <c r="E70" i="3" s="1"/>
  <c r="H70" i="3" s="1"/>
  <c r="E71" i="3" a="1"/>
  <c r="E71" i="3" s="1"/>
  <c r="H71" i="3" s="1"/>
  <c r="E72" i="3" a="1"/>
  <c r="E72" i="3" s="1"/>
  <c r="H72" i="3" s="1"/>
  <c r="E73" i="3" a="1"/>
  <c r="E73" i="3" s="1"/>
  <c r="H73" i="3" s="1"/>
  <c r="E74" i="3" a="1"/>
  <c r="E74" i="3" s="1"/>
  <c r="H74" i="3" s="1"/>
  <c r="E75" i="3" a="1"/>
  <c r="E75" i="3" s="1"/>
  <c r="H75" i="3" s="1"/>
  <c r="E76" i="3" a="1"/>
  <c r="E76" i="3" s="1"/>
  <c r="H76" i="3" s="1"/>
  <c r="E77" i="3" a="1"/>
  <c r="E77" i="3" s="1"/>
  <c r="H77" i="3" s="1"/>
  <c r="E78" i="3" a="1"/>
  <c r="E78" i="3" s="1"/>
  <c r="H78" i="3" s="1"/>
  <c r="E79" i="3" a="1"/>
  <c r="E79" i="3" s="1"/>
  <c r="H79" i="3" s="1"/>
  <c r="E80" i="3" a="1"/>
  <c r="E80" i="3" s="1"/>
  <c r="H80" i="3" s="1"/>
  <c r="E81" i="3" a="1"/>
  <c r="E81" i="3" s="1"/>
  <c r="H81" i="3" s="1"/>
  <c r="E82" i="3" a="1"/>
  <c r="E82" i="3" s="1"/>
  <c r="H82" i="3" s="1"/>
  <c r="E83" i="3" a="1"/>
  <c r="E83" i="3" s="1"/>
  <c r="H83" i="3" s="1"/>
  <c r="E84" i="3" a="1"/>
  <c r="E84" i="3" s="1"/>
  <c r="H84" i="3" s="1"/>
  <c r="E85" i="3" a="1"/>
  <c r="E85" i="3" s="1"/>
  <c r="H85" i="3" s="1"/>
  <c r="E86" i="3" a="1"/>
  <c r="E86" i="3" s="1"/>
  <c r="H86" i="3" s="1"/>
  <c r="E93" i="3" a="1"/>
  <c r="E93" i="3" s="1"/>
  <c r="H93" i="3" s="1"/>
  <c r="E94" i="3" a="1"/>
  <c r="E94" i="3" s="1"/>
  <c r="H94" i="3" s="1"/>
  <c r="E95" i="3" a="1"/>
  <c r="E95" i="3" s="1"/>
  <c r="H95" i="3" s="1"/>
  <c r="E96" i="3" a="1"/>
  <c r="E96" i="3" s="1"/>
  <c r="H96" i="3" s="1"/>
  <c r="E97" i="3" a="1"/>
  <c r="E97" i="3" s="1"/>
  <c r="H97" i="3" s="1"/>
  <c r="E98" i="3" a="1"/>
  <c r="E98" i="3" s="1"/>
  <c r="H98" i="3" s="1"/>
  <c r="E99" i="3" a="1"/>
  <c r="E99" i="3" s="1"/>
  <c r="H99" i="3" s="1"/>
  <c r="E100" i="3" a="1"/>
  <c r="E100" i="3" s="1"/>
  <c r="H100" i="3" s="1"/>
  <c r="E101" i="3" a="1"/>
  <c r="E101" i="3" s="1"/>
  <c r="H101" i="3" s="1"/>
  <c r="E102" i="3" a="1"/>
  <c r="E102" i="3" s="1"/>
  <c r="H102" i="3" s="1"/>
  <c r="E103" i="3" a="1"/>
  <c r="E103" i="3" s="1"/>
  <c r="H103" i="3" s="1"/>
  <c r="E104" i="3" a="1"/>
  <c r="E104" i="3" s="1"/>
  <c r="H104" i="3" s="1"/>
  <c r="E105" i="3" a="1"/>
  <c r="E105" i="3" s="1"/>
  <c r="H105" i="3" s="1"/>
  <c r="E106" i="3" a="1"/>
  <c r="E106" i="3" s="1"/>
  <c r="H106" i="3" s="1"/>
  <c r="E107" i="3" a="1"/>
  <c r="E107" i="3" s="1"/>
  <c r="H107" i="3" s="1"/>
  <c r="E108" i="3" a="1"/>
  <c r="E108" i="3" s="1"/>
  <c r="H108" i="3" s="1"/>
  <c r="E109" i="3" a="1"/>
  <c r="E109" i="3" s="1"/>
  <c r="H109" i="3" s="1"/>
  <c r="E110" i="3" a="1"/>
  <c r="E110" i="3" s="1"/>
  <c r="H110" i="3" s="1"/>
  <c r="E111" i="3" a="1"/>
  <c r="E111" i="3" s="1"/>
  <c r="H111" i="3" s="1"/>
  <c r="E112" i="3" a="1"/>
  <c r="E112" i="3" s="1"/>
  <c r="H112" i="3" s="1"/>
  <c r="E113" i="3" a="1"/>
  <c r="E113" i="3" s="1"/>
  <c r="H113" i="3" s="1"/>
  <c r="E114" i="3" a="1"/>
  <c r="E114" i="3" s="1"/>
  <c r="H114" i="3" s="1"/>
  <c r="E115" i="3" a="1"/>
  <c r="E115" i="3" s="1"/>
  <c r="H115" i="3" s="1"/>
  <c r="E116" i="3" a="1"/>
  <c r="E116" i="3" s="1"/>
  <c r="H116" i="3" s="1"/>
  <c r="E123" i="3" a="1"/>
  <c r="E123" i="3" s="1"/>
  <c r="H123" i="3" s="1"/>
  <c r="E124" i="3" a="1"/>
  <c r="E124" i="3" s="1"/>
  <c r="H124" i="3" s="1"/>
  <c r="E125" i="3" a="1"/>
  <c r="E125" i="3" s="1"/>
  <c r="H125" i="3" s="1"/>
  <c r="E126" i="3" a="1"/>
  <c r="E126" i="3" s="1"/>
  <c r="H126" i="3" s="1"/>
  <c r="E127" i="3" a="1"/>
  <c r="E127" i="3" s="1"/>
  <c r="H127" i="3" s="1"/>
  <c r="E128" i="3" a="1"/>
  <c r="E128" i="3" s="1"/>
  <c r="H128" i="3" s="1"/>
  <c r="E3" i="3" a="1"/>
  <c r="E3" i="3" s="1"/>
  <c r="H3" i="3" s="1"/>
  <c r="L10" i="3"/>
  <c r="M9" i="3"/>
  <c r="N10" i="3"/>
  <c r="M10" i="3"/>
  <c r="L9" i="3"/>
  <c r="L2" i="4" l="1"/>
  <c r="H58" i="3"/>
  <c r="H118" i="3"/>
  <c r="H10" i="3"/>
  <c r="H88" i="3"/>
  <c r="H130" i="3"/>
  <c r="H145" i="3"/>
  <c r="H139" i="3"/>
  <c r="AB23" i="3"/>
  <c r="AB24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<sst xmlns="http://schemas.openxmlformats.org/spreadsheetml/2006/main" count="2610" uniqueCount="422">
  <si>
    <t>filename</t>
  </si>
  <si>
    <t>right_answer</t>
  </si>
  <si>
    <t>true</t>
  </si>
  <si>
    <t>false</t>
  </si>
  <si>
    <t>10-clean-v0.png</t>
  </si>
  <si>
    <t>10-obf-v0.png</t>
  </si>
  <si>
    <t>11-clean-v0.png</t>
  </si>
  <si>
    <t>11-obf-v0.png</t>
  </si>
  <si>
    <t>12-clean-v0.png</t>
  </si>
  <si>
    <t>12-obf-v0.png</t>
  </si>
  <si>
    <t>13-clean-v0.png</t>
  </si>
  <si>
    <t>13-obf-v0.png</t>
  </si>
  <si>
    <t>14-clean-v0.png</t>
  </si>
  <si>
    <t>14-obf-v0.png</t>
  </si>
  <si>
    <t>16-clean-v0.png</t>
  </si>
  <si>
    <t>16-obf-v0.png</t>
  </si>
  <si>
    <t>17-clean-v0.png</t>
  </si>
  <si>
    <t>17-obf-v0.png</t>
  </si>
  <si>
    <t>18-clean-v0.png</t>
  </si>
  <si>
    <t>18-obf-v0.png</t>
  </si>
  <si>
    <t>30-clean-v0.png</t>
  </si>
  <si>
    <t>30-obf-v0.png</t>
  </si>
  <si>
    <t>4-clean-v0.png</t>
  </si>
  <si>
    <t>4-obf-v0.png</t>
  </si>
  <si>
    <t>49-clean-v0.png</t>
  </si>
  <si>
    <t>49-obf-v0.png</t>
  </si>
  <si>
    <t>5-clean-v0.png</t>
  </si>
  <si>
    <t>5-obf-v0.png</t>
  </si>
  <si>
    <t>54-clean-v0.png</t>
  </si>
  <si>
    <t>54-obf-v0.png</t>
  </si>
  <si>
    <t>57-clean-v0.png</t>
  </si>
  <si>
    <t>57-obf-v0.png</t>
  </si>
  <si>
    <t>6-clean-v0.png</t>
  </si>
  <si>
    <t>6-obf-v0.png</t>
  </si>
  <si>
    <t>60-clean-v0.png</t>
  </si>
  <si>
    <t>60-obf-v0.png</t>
  </si>
  <si>
    <t>61-clean-v0.png</t>
  </si>
  <si>
    <t>61-obf-v0.png</t>
  </si>
  <si>
    <t>62-clean-v0.png</t>
  </si>
  <si>
    <t>62-obf-v0.png</t>
  </si>
  <si>
    <t>63-clean-v0.png</t>
  </si>
  <si>
    <t>63-obf-v0.png</t>
  </si>
  <si>
    <t>7-clean-v0.png</t>
  </si>
  <si>
    <t>7-obf-v0.png</t>
  </si>
  <si>
    <t>8-clean-v0.png</t>
  </si>
  <si>
    <t>8-obf-v0.png</t>
  </si>
  <si>
    <t>9-clean-v0.png</t>
  </si>
  <si>
    <t>9-obf-v0.png</t>
  </si>
  <si>
    <t>10-clean-v1.png</t>
  </si>
  <si>
    <t>10-obf-v1.png</t>
  </si>
  <si>
    <t>11-clean-v1.png</t>
  </si>
  <si>
    <t>11-obf-v1.png</t>
  </si>
  <si>
    <t>12-clean-v1.png</t>
  </si>
  <si>
    <t>12-obf-v1.png</t>
  </si>
  <si>
    <t>13-clean-v1.png</t>
  </si>
  <si>
    <t>13-obf-v1.png</t>
  </si>
  <si>
    <t>14-clean-v1.png</t>
  </si>
  <si>
    <t>14-obf-v1.png</t>
  </si>
  <si>
    <t>16-clean-v1.png</t>
  </si>
  <si>
    <t>16-obf-v1.png</t>
  </si>
  <si>
    <t>17-clean-v1.png</t>
  </si>
  <si>
    <t>17-obf-v1.png</t>
  </si>
  <si>
    <t>18-clean-v1.png</t>
  </si>
  <si>
    <t>18-obf-v1.png</t>
  </si>
  <si>
    <t>30-clean-v1.png</t>
  </si>
  <si>
    <t>30-obf-v1.png</t>
  </si>
  <si>
    <t>4-clean-v1.png</t>
  </si>
  <si>
    <t>4-obf-v1.png</t>
  </si>
  <si>
    <t>49-clean-v1.png</t>
  </si>
  <si>
    <t>49-obf-v1.png</t>
  </si>
  <si>
    <t>5-clean-v1.png</t>
  </si>
  <si>
    <t>5-obf-v1.png</t>
  </si>
  <si>
    <t>54-clean-v1.png</t>
  </si>
  <si>
    <t>54-obf-v1.png</t>
  </si>
  <si>
    <t>57-clean-v1.png</t>
  </si>
  <si>
    <t>57-obf-v1.png</t>
  </si>
  <si>
    <t>6-clean-v1.png</t>
  </si>
  <si>
    <t>6-obf-v1.png</t>
  </si>
  <si>
    <t>60-clean-v1.png</t>
  </si>
  <si>
    <t>60-obf-v1.png</t>
  </si>
  <si>
    <t>61-clean-v1.png</t>
  </si>
  <si>
    <t>61-obf-v1.png</t>
  </si>
  <si>
    <t>62-clean-v1.png</t>
  </si>
  <si>
    <t>62-obf-v1.png</t>
  </si>
  <si>
    <t>63-clean-v1.png</t>
  </si>
  <si>
    <t>63-obf-v1.png</t>
  </si>
  <si>
    <t>7-clean-v1.png</t>
  </si>
  <si>
    <t>7-obf-v1.png</t>
  </si>
  <si>
    <t>8-clean-v1.png</t>
  </si>
  <si>
    <t>8-obf-v1.png</t>
  </si>
  <si>
    <t>9-clean-v1.png</t>
  </si>
  <si>
    <t>9-obf-v1.png</t>
  </si>
  <si>
    <t>10-clean-v2.png</t>
  </si>
  <si>
    <t>10-obf-v2.png</t>
  </si>
  <si>
    <t>11-clean-v2.png</t>
  </si>
  <si>
    <t>11-obf-v2.png</t>
  </si>
  <si>
    <t>12-clean-v2.png</t>
  </si>
  <si>
    <t>12-obf-v2.png</t>
  </si>
  <si>
    <t>13-clean-v2.png</t>
  </si>
  <si>
    <t>13-obf-v2.png</t>
  </si>
  <si>
    <t>14-clean-v2.png</t>
  </si>
  <si>
    <t>14-obf-v2.png</t>
  </si>
  <si>
    <t>16-clean-v2.png</t>
  </si>
  <si>
    <t>16-obf-v2.png</t>
  </si>
  <si>
    <t>17-clean-v2.png</t>
  </si>
  <si>
    <t>17-obf-v2.png</t>
  </si>
  <si>
    <t>18-clean-v2.png</t>
  </si>
  <si>
    <t>18-obf-v2.png</t>
  </si>
  <si>
    <t>30-clean-v2.png</t>
  </si>
  <si>
    <t>30-obf-v2.png</t>
  </si>
  <si>
    <t>4-clean-v2.png</t>
  </si>
  <si>
    <t>4-obf-v2.png</t>
  </si>
  <si>
    <t>49-clean-v2.png</t>
  </si>
  <si>
    <t>49-obf-v2.png</t>
  </si>
  <si>
    <t>5-clean-v2.png</t>
  </si>
  <si>
    <t>5-obf-v2.png</t>
  </si>
  <si>
    <t>54-clean-v2.png</t>
  </si>
  <si>
    <t>54-obf-v2.png</t>
  </si>
  <si>
    <t>57-clean-v2.png</t>
  </si>
  <si>
    <t>57-obf-v2.png</t>
  </si>
  <si>
    <t>6-clean-v2.png</t>
  </si>
  <si>
    <t>6-obf-v2.png</t>
  </si>
  <si>
    <t>60-clean-v2.png</t>
  </si>
  <si>
    <t>60-obf-v2.png</t>
  </si>
  <si>
    <t>61-clean-v2.png</t>
  </si>
  <si>
    <t>61-obf-v2.png</t>
  </si>
  <si>
    <t>62-clean-v2.png</t>
  </si>
  <si>
    <t>62-obf-v2.png</t>
  </si>
  <si>
    <t>63-clean-v2.png</t>
  </si>
  <si>
    <t>63-obf-v2.png</t>
  </si>
  <si>
    <t>7-clean-v2.png</t>
  </si>
  <si>
    <t>7-obf-v2.png</t>
  </si>
  <si>
    <t>8-clean-v2.png</t>
  </si>
  <si>
    <t>8-obf-v2.png</t>
  </si>
  <si>
    <t>9-clean-v2.png</t>
  </si>
  <si>
    <t>9-obf-v2.png</t>
  </si>
  <si>
    <t>-clean-v0.png</t>
  </si>
  <si>
    <t>-obf-v0.png</t>
  </si>
  <si>
    <t>variant</t>
  </si>
  <si>
    <t>version</t>
  </si>
  <si>
    <t>clean</t>
  </si>
  <si>
    <t>obf</t>
  </si>
  <si>
    <t>v0</t>
  </si>
  <si>
    <t>v1</t>
  </si>
  <si>
    <t>v2</t>
  </si>
  <si>
    <t>-clean-v1.png</t>
  </si>
  <si>
    <t>-obf-v1.png</t>
  </si>
  <si>
    <t>-clean-v2.png</t>
  </si>
  <si>
    <t>-obf-v2.png</t>
  </si>
  <si>
    <t>prepostindecrement</t>
  </si>
  <si>
    <t>confusingvariables</t>
  </si>
  <si>
    <t>scopeindentation</t>
  </si>
  <si>
    <t>implementationdetails</t>
  </si>
  <si>
    <t>confusingboolwitharith</t>
  </si>
  <si>
    <t>possible_wrong_answers</t>
  </si>
  <si>
    <t>number</t>
  </si>
  <si>
    <t>AoC_category</t>
  </si>
  <si>
    <t>3;4</t>
  </si>
  <si>
    <t>4;5</t>
  </si>
  <si>
    <t>0;2</t>
  </si>
  <si>
    <t>1;3</t>
  </si>
  <si>
    <t>5;10</t>
  </si>
  <si>
    <t>10;5</t>
  </si>
  <si>
    <t>6;2</t>
  </si>
  <si>
    <t>6;8</t>
  </si>
  <si>
    <t>7;5</t>
  </si>
  <si>
    <t>0;5</t>
  </si>
  <si>
    <t>10;12</t>
  </si>
  <si>
    <t>4;6</t>
  </si>
  <si>
    <t>10;40</t>
  </si>
  <si>
    <t>15;24</t>
  </si>
  <si>
    <t>2;512</t>
  </si>
  <si>
    <t>128;42</t>
  </si>
  <si>
    <t>30;84</t>
  </si>
  <si>
    <t>30;9</t>
  </si>
  <si>
    <t>6;4</t>
  </si>
  <si>
    <t>3;2</t>
  </si>
  <si>
    <t>4;13</t>
  </si>
  <si>
    <t>8;1</t>
  </si>
  <si>
    <t>21;80</t>
  </si>
  <si>
    <t>20;22</t>
  </si>
  <si>
    <t>255;296</t>
  </si>
  <si>
    <t>6;60</t>
  </si>
  <si>
    <t>500;100</t>
  </si>
  <si>
    <t>50;40</t>
  </si>
  <si>
    <t>-1;-2</t>
  </si>
  <si>
    <t>6;3</t>
  </si>
  <si>
    <t>5;3</t>
  </si>
  <si>
    <t>15;12</t>
  </si>
  <si>
    <t>2;0</t>
  </si>
  <si>
    <t>4;3</t>
  </si>
  <si>
    <t>1;-1</t>
  </si>
  <si>
    <t>4;7</t>
  </si>
  <si>
    <t>5;7</t>
  </si>
  <si>
    <t>13;6</t>
  </si>
  <si>
    <t>16;8</t>
  </si>
  <si>
    <t>6;1</t>
  </si>
  <si>
    <t>Langhout AoC_category</t>
  </si>
  <si>
    <t>implicit predicate</t>
  </si>
  <si>
    <t>infix operator precedence</t>
  </si>
  <si>
    <t>post increment decrement</t>
  </si>
  <si>
    <t>pre increment decrement</t>
  </si>
  <si>
    <t>constant variables</t>
  </si>
  <si>
    <t>remove indentation atom</t>
  </si>
  <si>
    <t>arithmetic_as_logic</t>
  </si>
  <si>
    <t>dead_unreachable_repeated</t>
  </si>
  <si>
    <t>change_of_literal_encoding</t>
  </si>
  <si>
    <t>omitted_curly_braces</t>
  </si>
  <si>
    <t>type_conversion</t>
  </si>
  <si>
    <t>indentation</t>
  </si>
  <si>
    <t>15-clean-v0.png</t>
  </si>
  <si>
    <t>15-clean-v1.png</t>
  </si>
  <si>
    <t>15-clean-v2.png</t>
  </si>
  <si>
    <t>15-obf-v0.png</t>
  </si>
  <si>
    <t>15-obf-v1.png</t>
  </si>
  <si>
    <t>15-obf-v2.png</t>
  </si>
  <si>
    <t>9.0</t>
  </si>
  <si>
    <t>13.0</t>
  </si>
  <si>
    <t>62.0</t>
  </si>
  <si>
    <t>12.0;14.0</t>
  </si>
  <si>
    <t>snippet name</t>
  </si>
  <si>
    <t>result</t>
  </si>
  <si>
    <t>10-clean-v0</t>
  </si>
  <si>
    <t>10-obf-v0</t>
  </si>
  <si>
    <t>11-clean-v0</t>
  </si>
  <si>
    <t>11-obf-v0</t>
  </si>
  <si>
    <t>12-clean-v0</t>
  </si>
  <si>
    <t>12-obf-v0</t>
  </si>
  <si>
    <t>13-clean-v0</t>
  </si>
  <si>
    <t>13-obf-v0</t>
  </si>
  <si>
    <t>14-clean-v0</t>
  </si>
  <si>
    <t>14-obf-v0</t>
  </si>
  <si>
    <t>15-clean-v0</t>
  </si>
  <si>
    <t>15-obf-v0</t>
  </si>
  <si>
    <t>16-clean-v0</t>
  </si>
  <si>
    <t>16-obf-v0</t>
  </si>
  <si>
    <t>17-clean-v0</t>
  </si>
  <si>
    <t>17-obf-v0</t>
  </si>
  <si>
    <t>18-clean-v0</t>
  </si>
  <si>
    <t>18-obf-v0</t>
  </si>
  <si>
    <t>30-clean-v0</t>
  </si>
  <si>
    <t>30-obf-v0</t>
  </si>
  <si>
    <t>4-clean-v0</t>
  </si>
  <si>
    <t>4-obf-v0</t>
  </si>
  <si>
    <t>49-clean-v0</t>
  </si>
  <si>
    <t>49-obf-v0</t>
  </si>
  <si>
    <t>5-clean-v0</t>
  </si>
  <si>
    <t>5-obf-v0</t>
  </si>
  <si>
    <t>54-clean-v0</t>
  </si>
  <si>
    <t>54-obf-v0</t>
  </si>
  <si>
    <t>57-clean-v0</t>
  </si>
  <si>
    <t>57-obf-v0</t>
  </si>
  <si>
    <t>6-clean-v0</t>
  </si>
  <si>
    <t>6-obf-v0</t>
  </si>
  <si>
    <t>60-clean-v0</t>
  </si>
  <si>
    <t>60-obf-v0</t>
  </si>
  <si>
    <t>61-clean-v0</t>
  </si>
  <si>
    <t>61-obf-v0</t>
  </si>
  <si>
    <t>62-clean-v0</t>
  </si>
  <si>
    <t>62-obf-v0</t>
  </si>
  <si>
    <t>63-clean-v0</t>
  </si>
  <si>
    <t>63-obf-v0</t>
  </si>
  <si>
    <t>7-clean-v0</t>
  </si>
  <si>
    <t>7-obf-v0</t>
  </si>
  <si>
    <t>8-clean-v0</t>
  </si>
  <si>
    <t>8-obf-v0</t>
  </si>
  <si>
    <t>9-clean-v0</t>
  </si>
  <si>
    <t>9-obf-v0</t>
  </si>
  <si>
    <t>10-clean-v1</t>
  </si>
  <si>
    <t>10-obf-v1</t>
  </si>
  <si>
    <t>11-clean-v1</t>
  </si>
  <si>
    <t>11-obf-v1</t>
  </si>
  <si>
    <t>12-clean-v1</t>
  </si>
  <si>
    <t>12-obf-v1</t>
  </si>
  <si>
    <t>13-clean-v1</t>
  </si>
  <si>
    <t>13-obf-v1</t>
  </si>
  <si>
    <t>14-clean-v1</t>
  </si>
  <si>
    <t>14-obf-v1</t>
  </si>
  <si>
    <t>15-clean-v1</t>
  </si>
  <si>
    <t>15-obf-v1</t>
  </si>
  <si>
    <t>16-clean-v1</t>
  </si>
  <si>
    <t>16-obf-v1</t>
  </si>
  <si>
    <t>17-clean-v1</t>
  </si>
  <si>
    <t>17-obf-v1</t>
  </si>
  <si>
    <t>18-clean-v1</t>
  </si>
  <si>
    <t>18-obf-v1</t>
  </si>
  <si>
    <t>30-clean-v1</t>
  </si>
  <si>
    <t>30-obf-v1</t>
  </si>
  <si>
    <t>4-clean-v1</t>
  </si>
  <si>
    <t>4-obf-v1</t>
  </si>
  <si>
    <t>49-clean-v1</t>
  </si>
  <si>
    <t>49-obf-v1</t>
  </si>
  <si>
    <t>5-clean-v1</t>
  </si>
  <si>
    <t>5-obf-v1</t>
  </si>
  <si>
    <t>54-clean-v1</t>
  </si>
  <si>
    <t>54-obf-v1</t>
  </si>
  <si>
    <t>57-clean-v1</t>
  </si>
  <si>
    <t>57-obf-v1</t>
  </si>
  <si>
    <t>6-clean-v1</t>
  </si>
  <si>
    <t>6-obf-v1</t>
  </si>
  <si>
    <t>60-clean-v1</t>
  </si>
  <si>
    <t>60-obf-v1</t>
  </si>
  <si>
    <t>61-clean-v1</t>
  </si>
  <si>
    <t>61-obf-v1</t>
  </si>
  <si>
    <t>62-clean-v1</t>
  </si>
  <si>
    <t>62-obf-v1</t>
  </si>
  <si>
    <t>63-clean-v1</t>
  </si>
  <si>
    <t>63-obf-v1</t>
  </si>
  <si>
    <t>7-clean-v1</t>
  </si>
  <si>
    <t>7-obf-v1</t>
  </si>
  <si>
    <t>8-clean-v1</t>
  </si>
  <si>
    <t>8-obf-v1</t>
  </si>
  <si>
    <t>9-clean-v1</t>
  </si>
  <si>
    <t>9-obf-v1</t>
  </si>
  <si>
    <t>10-clean-v2</t>
  </si>
  <si>
    <t>10-obf-v2</t>
  </si>
  <si>
    <t>11-clean-v2</t>
  </si>
  <si>
    <t>11-obf-v2</t>
  </si>
  <si>
    <t>12-clean-v2</t>
  </si>
  <si>
    <t>12-obf-v2</t>
  </si>
  <si>
    <t>13-clean-v2</t>
  </si>
  <si>
    <t>13-obf-v2</t>
  </si>
  <si>
    <t>14-clean-v2</t>
  </si>
  <si>
    <t>14-obf-v2</t>
  </si>
  <si>
    <t>15-clean-v2</t>
  </si>
  <si>
    <t>15-obf-v2</t>
  </si>
  <si>
    <t>16-clean-v2</t>
  </si>
  <si>
    <t>16-obf-v2</t>
  </si>
  <si>
    <t>17-clean-v2</t>
  </si>
  <si>
    <t>17-obf-v2</t>
  </si>
  <si>
    <t>18-clean-v2</t>
  </si>
  <si>
    <t>18-obf-v2</t>
  </si>
  <si>
    <t>30-clean-v2</t>
  </si>
  <si>
    <t>30-obf-v2</t>
  </si>
  <si>
    <t>4-clean-v2</t>
  </si>
  <si>
    <t>4-obf-v2</t>
  </si>
  <si>
    <t>49-clean-v2</t>
  </si>
  <si>
    <t>49-obf-v2</t>
  </si>
  <si>
    <t>5-clean-v2</t>
  </si>
  <si>
    <t>5-obf-v2</t>
  </si>
  <si>
    <t>54-clean-v2</t>
  </si>
  <si>
    <t>54-obf-v2</t>
  </si>
  <si>
    <t>57-clean-v2</t>
  </si>
  <si>
    <t>57-obf-v2</t>
  </si>
  <si>
    <t>6-clean-v2</t>
  </si>
  <si>
    <t>6-obf-v2</t>
  </si>
  <si>
    <t>60-clean-v2</t>
  </si>
  <si>
    <t>60-obf-v2</t>
  </si>
  <si>
    <t>61-clean-v2</t>
  </si>
  <si>
    <t>61-obf-v2</t>
  </si>
  <si>
    <t>62-clean-v2</t>
  </si>
  <si>
    <t>62-obf-v2</t>
  </si>
  <si>
    <t>63-clean-v2</t>
  </si>
  <si>
    <t>63-obf-v2</t>
  </si>
  <si>
    <t>7-clean-v2</t>
  </si>
  <si>
    <t>7-obf-v2</t>
  </si>
  <si>
    <t>8-clean-v2</t>
  </si>
  <si>
    <t>8-obf-v2</t>
  </si>
  <si>
    <t>9-clean-v2</t>
  </si>
  <si>
    <t>9-obf-v2</t>
  </si>
  <si>
    <t>-clean-v0</t>
  </si>
  <si>
    <t>-obf-v0</t>
  </si>
  <si>
    <t>-clean-v1</t>
  </si>
  <si>
    <t>-obf-v1</t>
  </si>
  <si>
    <t>-clean-v2</t>
  </si>
  <si>
    <t>-obf-v2</t>
  </si>
  <si>
    <t>wrong_answer1</t>
  </si>
  <si>
    <t>wrong_answer2</t>
  </si>
  <si>
    <t>8.0</t>
  </si>
  <si>
    <t>12.0</t>
  </si>
  <si>
    <t>14.0</t>
  </si>
  <si>
    <t>63.0</t>
  </si>
  <si>
    <t>Original</t>
  </si>
  <si>
    <t>sorted</t>
  </si>
  <si>
    <t>answer1</t>
  </si>
  <si>
    <t>answer2</t>
  </si>
  <si>
    <t>answer3</t>
  </si>
  <si>
    <t>correct_index</t>
  </si>
  <si>
    <t>typ</t>
  </si>
  <si>
    <t>bool</t>
  </si>
  <si>
    <t>Zeilenbeschriftungen</t>
  </si>
  <si>
    <t>Gesamtergebnis</t>
  </si>
  <si>
    <t>Spaltenbeschriftungen</t>
  </si>
  <si>
    <t>Anzahl von filename</t>
  </si>
  <si>
    <t>312.0</t>
  </si>
  <si>
    <t>4.5</t>
  </si>
  <si>
    <t>minImprovementPerRound:[0.05,0.1,0.3,0.5]</t>
  </si>
  <si>
    <t>quadraticFunctionSupport:[true,false]</t>
  </si>
  <si>
    <t>learn-logFunction:[true,false]</t>
  </si>
  <si>
    <t>learn-accumulatedLogFunction:[true,false]</t>
  </si>
  <si>
    <t>learn-asymFunction:[true,false]</t>
  </si>
  <si>
    <t>learn-ratioFunction:[true,false]</t>
  </si>
  <si>
    <t>learn-mirrowedFunction:[true,false]</t>
  </si>
  <si>
    <t>numberOfRounds:[5,10,20,30]</t>
  </si>
  <si>
    <t>minImprovementPerRound</t>
  </si>
  <si>
    <t>[0.05</t>
  </si>
  <si>
    <t>0.1</t>
  </si>
  <si>
    <t>0.3</t>
  </si>
  <si>
    <t>0.5]</t>
  </si>
  <si>
    <t>quadraticFunctionSupport</t>
  </si>
  <si>
    <t>[true</t>
  </si>
  <si>
    <t>false]</t>
  </si>
  <si>
    <t>learn-logFunction</t>
  </si>
  <si>
    <t>learn-accumulatedLogFunction</t>
  </si>
  <si>
    <t>learn-asymFunction</t>
  </si>
  <si>
    <t>learn-ratioFunction</t>
  </si>
  <si>
    <t>learn-mirrowedFunction</t>
  </si>
  <si>
    <t>numberOfRounds</t>
  </si>
  <si>
    <t>[5</t>
  </si>
  <si>
    <t>30]</t>
  </si>
  <si>
    <t>6;5</t>
  </si>
  <si>
    <t>1;2</t>
  </si>
  <si>
    <t>8.0;4.5</t>
  </si>
  <si>
    <t>312.0;63.0</t>
  </si>
  <si>
    <t>256;288</t>
  </si>
  <si>
    <t>6;7</t>
  </si>
  <si>
    <t>8;9</t>
  </si>
  <si>
    <t>9;17</t>
  </si>
  <si>
    <t>EMPTY</t>
  </si>
  <si>
    <t>snippets result from other sheet</t>
  </si>
  <si>
    <t>Spalte1</t>
  </si>
  <si>
    <t>check dass 50% cleck und 50% obf bei random partition sind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</si>
</sst>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quotePrefix="1"/>
    <xf numFmtId="0" fontId="16" fillId="0" borderId="10" xfId="0" applyFont="1" applyBorder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49" fontId="0" fillId="33" borderId="0" xfId="0" applyNumberFormat="1" applyFill="1"/>
    <xf numFmtId="0" fontId="0" fillId="0" borderId="0" xfId="0" applyAlignment="1">
      <alignment vertical="center" wrapText="1"/>
    </xf>
    <xf numFmtId="0" fontId="16" fillId="0" borderId="0" xfId="0" applyFont="1" applyFill="1" applyBorder="1"/>
    <xf numFmtId="0" fontId="16" fillId="0" borderId="10" xfId="0" applyFont="1" applyFill="1" applyBorder="1"/>
    <xf numFmtId="0" fontId="0" fillId="0" borderId="0" xfId="0" applyFont="1" applyFill="1"/>
    <xf numFmtId="0" fontId="0" fillId="0" borderId="0" xfId="0" applyFill="1"/>
    <xf numFmtId="0" fontId="0" fillId="0" borderId="0" xfId="0" applyFont="1" applyFill="1" applyBorder="1"/>
    <xf numFmtId="0" fontId="0" fillId="0" borderId="11" xfId="0" applyFont="1" applyFill="1" applyBorder="1"/>
    <xf numFmtId="0" fontId="0" fillId="0" borderId="0" xfId="0" quotePrefix="1" applyFont="1" applyFill="1" applyBorder="1"/>
    <xf numFmtId="0" fontId="16" fillId="0" borderId="0" xfId="0" applyFont="1" applyFill="1"/>
    <xf numFmtId="0" fontId="0" fillId="0" borderId="0" xfId="0" quotePrefix="1" applyFill="1"/>
    <xf numFmtId="0" fontId="0" fillId="0" borderId="11" xfId="0" quotePrefix="1" applyFill="1" applyBorder="1"/>
    <xf numFmtId="0" fontId="0" fillId="0" borderId="11" xfId="0" applyFill="1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[snippets_analysis.xlsx]Answer_Button_Distribution!PivotTable2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Answer_Button_Distribution!$L$2:$L$3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Answer_Button_Distribution!$K$4:$K$6</c:f>
              <c:strCache>
                <c:ptCount val="2"/>
                <c:pt idx="0">
                  <c:v>bool</c:v>
                </c:pt>
                <c:pt idx="1">
                  <c:v>number</c:v>
                </c:pt>
              </c:strCache>
            </c:strRef>
          </c:cat>
          <c:val>
            <c:numRef>
              <c:f>Answer_Button_Distribution!$L$4:$L$6</c:f>
              <c:numCache>
                <c:formatCode>General</c:formatCode>
                <c:ptCount val="2"/>
                <c:pt idx="0">
                  <c:v>20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4-456C-A458-834355F1E4EA}"/>
            </c:ext>
          </c:extLst>
        </c:ser>
        <c:ser>
          <c:idx val="1"/>
          <c:order val="1"/>
          <c:tx>
            <c:strRef>
              <c:f>Answer_Button_Distribution!$M$2:$M$3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Answer_Button_Distribution!$K$4:$K$6</c:f>
              <c:strCache>
                <c:ptCount val="2"/>
                <c:pt idx="0">
                  <c:v>bool</c:v>
                </c:pt>
                <c:pt idx="1">
                  <c:v>number</c:v>
                </c:pt>
              </c:strCache>
            </c:strRef>
          </c:cat>
          <c:val>
            <c:numRef>
              <c:f>Answer_Button_Distribution!$M$4:$M$6</c:f>
              <c:numCache>
                <c:formatCode>General</c:formatCode>
                <c:ptCount val="2"/>
                <c:pt idx="0">
                  <c:v>22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4-456C-A458-834355F1E4EA}"/>
            </c:ext>
          </c:extLst>
        </c:ser>
        <c:ser>
          <c:idx val="2"/>
          <c:order val="2"/>
          <c:tx>
            <c:strRef>
              <c:f>Answer_Button_Distribution!$N$2:$N$3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Answer_Button_Distribution!$K$4:$K$6</c:f>
              <c:strCache>
                <c:ptCount val="2"/>
                <c:pt idx="0">
                  <c:v>bool</c:v>
                </c:pt>
                <c:pt idx="1">
                  <c:v>number</c:v>
                </c:pt>
              </c:strCache>
            </c:strRef>
          </c:cat>
          <c:val>
            <c:numRef>
              <c:f>Answer_Button_Distribution!$N$4:$N$6</c:f>
              <c:numCache>
                <c:formatCode>General</c:formatCode>
                <c:ptCount val="2"/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C4-456C-A458-834355F1E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213552"/>
        <c:axId val="2012214992"/>
      </c:barChart>
      <c:catAx>
        <c:axId val="201221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214992"/>
        <c:crosses val="autoZero"/>
        <c:auto val="1"/>
        <c:lblAlgn val="ctr"/>
        <c:lblOffset val="100"/>
        <c:noMultiLvlLbl val="0"/>
      </c:catAx>
      <c:valAx>
        <c:axId val="201221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21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590006</xdr:colOff>
      <xdr:row>14</xdr:row>
      <xdr:rowOff>111579</xdr:rowOff>
    </xdr:from>
    <xdr:to>
      <xdr:col>14</xdr:col>
      <xdr:colOff>508363</xdr:colOff>
      <xdr:row>30</xdr:row>
      <xdr:rowOff>22588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3D9F6EC-09F3-5CB2-409D-0FCBA9AE9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-Maria Maurer" refreshedDate="45175.426175347224" createdVersion="8" refreshedVersion="8" minRefreshableVersion="3" recordCount="144" xr:uid="{B8AD6369-4A25-4B11-97A3-C12C97F19E66}">
  <cacheSource type="worksheet">
    <worksheetSource ref="A2:I146" sheet="Answer_Button_Distribution"/>
  </cacheSource>
  <cacheFields count="9">
    <cacheField name="filename" numFmtId="0">
      <sharedItems/>
    </cacheField>
    <cacheField name="right_answer" numFmtId="0">
      <sharedItems containsMixedTypes="1" containsNumber="1" containsInteger="1" minValue="-1" maxValue="256"/>
    </cacheField>
    <cacheField name="wrong_answer1" numFmtId="0">
      <sharedItems containsMixedTypes="1" containsNumber="1" containsInteger="1" minValue="-1" maxValue="500"/>
    </cacheField>
    <cacheField name="wrong_answer2" numFmtId="0">
      <sharedItems containsMixedTypes="1" containsNumber="1" containsInteger="1" minValue="-2" maxValue="512"/>
    </cacheField>
    <cacheField name="answer1" numFmtId="0">
      <sharedItems containsMixedTypes="1" containsNumber="1" containsInteger="1" minValue="-2" maxValue="50"/>
    </cacheField>
    <cacheField name="answer2" numFmtId="0">
      <sharedItems containsMixedTypes="1" containsNumber="1" containsInteger="1" minValue="-1" maxValue="256"/>
    </cacheField>
    <cacheField name="answer3" numFmtId="0">
      <sharedItems containsMixedTypes="1" containsNumber="1" containsInteger="1" minValue="0" maxValue="512"/>
    </cacheField>
    <cacheField name="correct_index" numFmtId="0">
      <sharedItems containsSemiMixedTypes="0" containsString="0" containsNumber="1" containsInteger="1" minValue="1" maxValue="3" count="3">
        <n v="2"/>
        <n v="1"/>
        <n v="3"/>
      </sharedItems>
    </cacheField>
    <cacheField name="typ" numFmtId="0">
      <sharedItems count="2">
        <s v="number"/>
        <s v="b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10-clean-v0.png"/>
    <n v="1"/>
    <n v="0"/>
    <n v="2"/>
    <n v="0"/>
    <n v="1"/>
    <n v="2"/>
    <x v="0"/>
    <x v="0"/>
  </r>
  <r>
    <s v="10-clean-v1.png"/>
    <n v="-1"/>
    <n v="0"/>
    <n v="5"/>
    <n v="-1"/>
    <n v="0"/>
    <n v="5"/>
    <x v="1"/>
    <x v="0"/>
  </r>
  <r>
    <s v="10-clean-v2.png"/>
    <n v="7"/>
    <n v="6"/>
    <n v="4"/>
    <n v="4"/>
    <n v="6"/>
    <n v="7"/>
    <x v="2"/>
    <x v="0"/>
  </r>
  <r>
    <s v="10-obf-v0.png"/>
    <n v="1"/>
    <n v="0"/>
    <n v="2"/>
    <n v="0"/>
    <n v="1"/>
    <n v="2"/>
    <x v="0"/>
    <x v="0"/>
  </r>
  <r>
    <s v="10-obf-v1.png"/>
    <n v="-1"/>
    <n v="0"/>
    <n v="5"/>
    <n v="-1"/>
    <n v="0"/>
    <n v="5"/>
    <x v="1"/>
    <x v="0"/>
  </r>
  <r>
    <s v="10-obf-v2.png"/>
    <n v="7"/>
    <n v="6"/>
    <n v="4"/>
    <n v="4"/>
    <n v="6"/>
    <n v="7"/>
    <x v="2"/>
    <x v="0"/>
  </r>
  <r>
    <s v="11-clean-v0.png"/>
    <s v="true"/>
    <s v="false"/>
    <s v="EMPTY"/>
    <s v="false"/>
    <s v="true"/>
    <s v="EMPTY"/>
    <x v="0"/>
    <x v="1"/>
  </r>
  <r>
    <s v="11-clean-v1.png"/>
    <s v="false"/>
    <s v="true"/>
    <s v="EMPTY"/>
    <s v="false"/>
    <s v="true"/>
    <s v="EMPTY"/>
    <x v="1"/>
    <x v="1"/>
  </r>
  <r>
    <s v="11-clean-v2.png"/>
    <s v="false"/>
    <s v="true"/>
    <s v="EMPTY"/>
    <s v="false"/>
    <s v="true"/>
    <s v="EMPTY"/>
    <x v="1"/>
    <x v="1"/>
  </r>
  <r>
    <s v="11-obf-v0.png"/>
    <s v="true"/>
    <s v="false"/>
    <s v="EMPTY"/>
    <s v="false"/>
    <s v="true"/>
    <s v="EMPTY"/>
    <x v="0"/>
    <x v="1"/>
  </r>
  <r>
    <s v="11-obf-v1.png"/>
    <s v="false"/>
    <s v="true"/>
    <s v="EMPTY"/>
    <s v="false"/>
    <s v="true"/>
    <s v="EMPTY"/>
    <x v="1"/>
    <x v="1"/>
  </r>
  <r>
    <s v="11-obf-v2.png"/>
    <s v="false"/>
    <s v="true"/>
    <s v="EMPTY"/>
    <s v="false"/>
    <s v="true"/>
    <s v="EMPTY"/>
    <x v="1"/>
    <x v="1"/>
  </r>
  <r>
    <s v="12-clean-v0.png"/>
    <n v="7"/>
    <n v="6"/>
    <n v="5"/>
    <n v="5"/>
    <n v="6"/>
    <n v="7"/>
    <x v="2"/>
    <x v="0"/>
  </r>
  <r>
    <s v="12-clean-v1.png"/>
    <n v="0"/>
    <n v="1"/>
    <n v="-1"/>
    <n v="-1"/>
    <n v="0"/>
    <n v="1"/>
    <x v="0"/>
    <x v="0"/>
  </r>
  <r>
    <s v="12-clean-v2.png"/>
    <n v="4"/>
    <n v="3"/>
    <n v="2"/>
    <n v="2"/>
    <n v="3"/>
    <n v="4"/>
    <x v="2"/>
    <x v="0"/>
  </r>
  <r>
    <s v="12-obf-v0.png"/>
    <n v="7"/>
    <n v="6"/>
    <n v="5"/>
    <n v="5"/>
    <n v="6"/>
    <n v="7"/>
    <x v="2"/>
    <x v="0"/>
  </r>
  <r>
    <s v="12-obf-v1.png"/>
    <n v="0"/>
    <n v="1"/>
    <n v="-1"/>
    <n v="-1"/>
    <n v="0"/>
    <n v="1"/>
    <x v="0"/>
    <x v="0"/>
  </r>
  <r>
    <s v="12-obf-v2.png"/>
    <n v="4"/>
    <n v="3"/>
    <n v="2"/>
    <n v="2"/>
    <n v="3"/>
    <n v="4"/>
    <x v="2"/>
    <x v="0"/>
  </r>
  <r>
    <s v="13-clean-v0.png"/>
    <n v="5"/>
    <n v="6"/>
    <n v="3"/>
    <n v="3"/>
    <n v="5"/>
    <n v="6"/>
    <x v="0"/>
    <x v="0"/>
  </r>
  <r>
    <s v="13-clean-v1.png"/>
    <n v="11"/>
    <n v="4"/>
    <n v="7"/>
    <n v="4"/>
    <n v="7"/>
    <n v="11"/>
    <x v="2"/>
    <x v="0"/>
  </r>
  <r>
    <s v="13-clean-v2.png"/>
    <n v="5"/>
    <n v="6"/>
    <n v="8"/>
    <n v="5"/>
    <n v="6"/>
    <n v="8"/>
    <x v="1"/>
    <x v="0"/>
  </r>
  <r>
    <s v="13-obf-v0.png"/>
    <n v="5"/>
    <n v="6"/>
    <n v="3"/>
    <n v="3"/>
    <n v="5"/>
    <n v="6"/>
    <x v="0"/>
    <x v="0"/>
  </r>
  <r>
    <s v="13-obf-v1.png"/>
    <n v="11"/>
    <n v="4"/>
    <n v="7"/>
    <n v="4"/>
    <n v="7"/>
    <n v="11"/>
    <x v="2"/>
    <x v="0"/>
  </r>
  <r>
    <s v="13-obf-v2.png"/>
    <n v="5"/>
    <n v="6"/>
    <n v="8"/>
    <n v="5"/>
    <n v="6"/>
    <n v="8"/>
    <x v="1"/>
    <x v="0"/>
  </r>
  <r>
    <s v="14-clean-v0.png"/>
    <n v="4"/>
    <n v="1"/>
    <n v="2"/>
    <n v="1"/>
    <n v="2"/>
    <n v="4"/>
    <x v="2"/>
    <x v="0"/>
  </r>
  <r>
    <s v="14-clean-v1.png"/>
    <n v="12"/>
    <n v="3"/>
    <n v="4"/>
    <n v="3"/>
    <n v="4"/>
    <n v="12"/>
    <x v="2"/>
    <x v="0"/>
  </r>
  <r>
    <s v="14-clean-v2.png"/>
    <n v="27"/>
    <n v="30"/>
    <n v="9"/>
    <n v="9"/>
    <n v="27"/>
    <n v="30"/>
    <x v="0"/>
    <x v="0"/>
  </r>
  <r>
    <s v="14-obf-v0.png"/>
    <n v="4"/>
    <n v="1"/>
    <n v="2"/>
    <n v="1"/>
    <n v="2"/>
    <n v="4"/>
    <x v="2"/>
    <x v="0"/>
  </r>
  <r>
    <s v="14-obf-v1.png"/>
    <n v="12"/>
    <n v="3"/>
    <n v="4"/>
    <n v="3"/>
    <n v="4"/>
    <n v="12"/>
    <x v="2"/>
    <x v="0"/>
  </r>
  <r>
    <s v="14-obf-v2.png"/>
    <n v="27"/>
    <n v="30"/>
    <n v="9"/>
    <n v="9"/>
    <n v="27"/>
    <n v="30"/>
    <x v="0"/>
    <x v="0"/>
  </r>
  <r>
    <s v="15-clean-v0.png"/>
    <s v="9.0"/>
    <s v="8.0"/>
    <s v="4.5"/>
    <s v="4.5"/>
    <s v="8.0"/>
    <s v="9.0"/>
    <x v="2"/>
    <x v="0"/>
  </r>
  <r>
    <s v="15-clean-v1.png"/>
    <s v="13.0"/>
    <s v="12.0"/>
    <s v="14.0"/>
    <s v="12.0"/>
    <s v="13.0"/>
    <s v="14.0"/>
    <x v="0"/>
    <x v="0"/>
  </r>
  <r>
    <s v="15-clean-v2.png"/>
    <s v="62.0"/>
    <s v="312.0"/>
    <s v="63.0"/>
    <s v="62.0"/>
    <s v="63.0"/>
    <s v="312.0"/>
    <x v="1"/>
    <x v="0"/>
  </r>
  <r>
    <s v="15-obf-v0.png"/>
    <s v="9.0"/>
    <s v="8.0"/>
    <s v="4.5"/>
    <s v="4.5"/>
    <s v="8.0"/>
    <s v="9.0"/>
    <x v="2"/>
    <x v="0"/>
  </r>
  <r>
    <s v="15-obf-v1.png"/>
    <s v="13.0"/>
    <s v="12.0"/>
    <s v="14.0"/>
    <s v="12.0"/>
    <s v="13.0"/>
    <s v="14.0"/>
    <x v="0"/>
    <x v="0"/>
  </r>
  <r>
    <s v="15-obf-v2.png"/>
    <s v="62.0"/>
    <s v="312.0"/>
    <s v="63.0"/>
    <s v="62.0"/>
    <s v="63.0"/>
    <s v="312.0"/>
    <x v="1"/>
    <x v="0"/>
  </r>
  <r>
    <s v="16-clean-v0.png"/>
    <n v="7"/>
    <n v="5"/>
    <n v="3"/>
    <n v="3"/>
    <n v="5"/>
    <n v="7"/>
    <x v="2"/>
    <x v="0"/>
  </r>
  <r>
    <s v="16-clean-v1.png"/>
    <n v="5"/>
    <n v="4"/>
    <n v="6"/>
    <n v="4"/>
    <n v="5"/>
    <n v="6"/>
    <x v="0"/>
    <x v="0"/>
  </r>
  <r>
    <s v="16-clean-v2.png"/>
    <n v="6"/>
    <n v="4"/>
    <n v="13"/>
    <n v="4"/>
    <n v="6"/>
    <n v="13"/>
    <x v="0"/>
    <x v="0"/>
  </r>
  <r>
    <s v="16-obf-v0.png"/>
    <n v="7"/>
    <n v="5"/>
    <n v="3"/>
    <n v="3"/>
    <n v="5"/>
    <n v="7"/>
    <x v="2"/>
    <x v="0"/>
  </r>
  <r>
    <s v="16-obf-v1.png"/>
    <n v="5"/>
    <n v="4"/>
    <n v="6"/>
    <n v="4"/>
    <n v="5"/>
    <n v="6"/>
    <x v="0"/>
    <x v="0"/>
  </r>
  <r>
    <s v="16-obf-v2.png"/>
    <n v="6"/>
    <n v="4"/>
    <n v="13"/>
    <n v="4"/>
    <n v="6"/>
    <n v="13"/>
    <x v="0"/>
    <x v="0"/>
  </r>
  <r>
    <s v="17-clean-v0.png"/>
    <n v="6"/>
    <n v="10"/>
    <n v="5"/>
    <n v="5"/>
    <n v="6"/>
    <n v="10"/>
    <x v="0"/>
    <x v="0"/>
  </r>
  <r>
    <s v="17-clean-v1.png"/>
    <n v="1"/>
    <n v="3"/>
    <n v="4"/>
    <n v="1"/>
    <n v="3"/>
    <n v="4"/>
    <x v="1"/>
    <x v="0"/>
  </r>
  <r>
    <s v="17-clean-v2.png"/>
    <n v="9"/>
    <n v="8"/>
    <n v="1"/>
    <n v="1"/>
    <n v="8"/>
    <n v="9"/>
    <x v="2"/>
    <x v="0"/>
  </r>
  <r>
    <s v="17-obf-v0.png"/>
    <n v="6"/>
    <n v="10"/>
    <n v="5"/>
    <n v="5"/>
    <n v="6"/>
    <n v="10"/>
    <x v="0"/>
    <x v="0"/>
  </r>
  <r>
    <s v="17-obf-v1.png"/>
    <n v="1"/>
    <n v="3"/>
    <n v="4"/>
    <n v="1"/>
    <n v="3"/>
    <n v="4"/>
    <x v="1"/>
    <x v="0"/>
  </r>
  <r>
    <s v="17-obf-v2.png"/>
    <n v="9"/>
    <n v="8"/>
    <n v="1"/>
    <n v="1"/>
    <n v="8"/>
    <n v="9"/>
    <x v="2"/>
    <x v="0"/>
  </r>
  <r>
    <s v="18-clean-v0.png"/>
    <n v="2"/>
    <n v="1"/>
    <n v="3"/>
    <n v="1"/>
    <n v="2"/>
    <n v="3"/>
    <x v="0"/>
    <x v="0"/>
  </r>
  <r>
    <s v="18-clean-v1.png"/>
    <n v="2"/>
    <n v="5"/>
    <n v="7"/>
    <n v="2"/>
    <n v="5"/>
    <n v="7"/>
    <x v="1"/>
    <x v="0"/>
  </r>
  <r>
    <s v="18-clean-v2.png"/>
    <n v="6"/>
    <n v="4"/>
    <n v="5"/>
    <n v="4"/>
    <n v="5"/>
    <n v="6"/>
    <x v="2"/>
    <x v="0"/>
  </r>
  <r>
    <s v="18-obf-v0.png"/>
    <n v="2"/>
    <n v="1"/>
    <n v="3"/>
    <n v="1"/>
    <n v="2"/>
    <n v="3"/>
    <x v="0"/>
    <x v="0"/>
  </r>
  <r>
    <s v="18-obf-v1.png"/>
    <n v="2"/>
    <n v="5"/>
    <n v="7"/>
    <n v="2"/>
    <n v="5"/>
    <n v="7"/>
    <x v="1"/>
    <x v="0"/>
  </r>
  <r>
    <s v="18-obf-v2.png"/>
    <n v="6"/>
    <n v="4"/>
    <n v="5"/>
    <n v="4"/>
    <n v="5"/>
    <n v="6"/>
    <x v="2"/>
    <x v="0"/>
  </r>
  <r>
    <s v="30-clean-v0.png"/>
    <s v="true"/>
    <s v="false"/>
    <s v="EMPTY"/>
    <s v="false"/>
    <s v="true"/>
    <s v="EMPTY"/>
    <x v="0"/>
    <x v="1"/>
  </r>
  <r>
    <s v="30-clean-v1.png"/>
    <s v="true"/>
    <s v="false"/>
    <s v="EMPTY"/>
    <s v="false"/>
    <s v="true"/>
    <s v="EMPTY"/>
    <x v="0"/>
    <x v="1"/>
  </r>
  <r>
    <s v="30-clean-v2.png"/>
    <s v="false"/>
    <s v="true"/>
    <s v="EMPTY"/>
    <s v="false"/>
    <s v="true"/>
    <s v="EMPTY"/>
    <x v="1"/>
    <x v="1"/>
  </r>
  <r>
    <s v="30-obf-v0.png"/>
    <s v="true"/>
    <s v="false"/>
    <s v="EMPTY"/>
    <s v="false"/>
    <s v="true"/>
    <s v="EMPTY"/>
    <x v="0"/>
    <x v="1"/>
  </r>
  <r>
    <s v="30-obf-v1.png"/>
    <s v="true"/>
    <s v="false"/>
    <s v="EMPTY"/>
    <s v="false"/>
    <s v="true"/>
    <s v="EMPTY"/>
    <x v="0"/>
    <x v="1"/>
  </r>
  <r>
    <s v="30-obf-v2.png"/>
    <s v="false"/>
    <s v="true"/>
    <s v="EMPTY"/>
    <s v="false"/>
    <s v="true"/>
    <s v="EMPTY"/>
    <x v="1"/>
    <x v="1"/>
  </r>
  <r>
    <s v="49-clean-v0.png"/>
    <n v="2"/>
    <n v="1"/>
    <n v="3"/>
    <n v="1"/>
    <n v="2"/>
    <n v="3"/>
    <x v="0"/>
    <x v="0"/>
  </r>
  <r>
    <s v="49-clean-v1.png"/>
    <n v="22"/>
    <n v="10"/>
    <n v="40"/>
    <n v="10"/>
    <n v="22"/>
    <n v="40"/>
    <x v="0"/>
    <x v="0"/>
  </r>
  <r>
    <s v="49-clean-v2.png"/>
    <n v="42"/>
    <n v="21"/>
    <n v="80"/>
    <n v="21"/>
    <n v="42"/>
    <n v="80"/>
    <x v="0"/>
    <x v="0"/>
  </r>
  <r>
    <s v="49-obf-v0.png"/>
    <n v="2"/>
    <n v="1"/>
    <n v="3"/>
    <n v="1"/>
    <n v="2"/>
    <n v="3"/>
    <x v="0"/>
    <x v="0"/>
  </r>
  <r>
    <s v="49-obf-v1.png"/>
    <n v="22"/>
    <n v="10"/>
    <n v="40"/>
    <n v="10"/>
    <n v="22"/>
    <n v="40"/>
    <x v="0"/>
    <x v="0"/>
  </r>
  <r>
    <s v="49-obf-v2.png"/>
    <n v="42"/>
    <n v="21"/>
    <n v="80"/>
    <n v="21"/>
    <n v="42"/>
    <n v="80"/>
    <x v="0"/>
    <x v="0"/>
  </r>
  <r>
    <s v="4-clean-v0.png"/>
    <n v="0"/>
    <n v="-1"/>
    <n v="-2"/>
    <n v="-2"/>
    <n v="-1"/>
    <n v="0"/>
    <x v="2"/>
    <x v="0"/>
  </r>
  <r>
    <s v="4-clean-v1.png"/>
    <n v="6"/>
    <n v="4"/>
    <n v="3"/>
    <n v="3"/>
    <n v="4"/>
    <n v="6"/>
    <x v="2"/>
    <x v="0"/>
  </r>
  <r>
    <s v="4-clean-v2.png"/>
    <n v="7"/>
    <n v="16"/>
    <n v="8"/>
    <n v="7"/>
    <n v="8"/>
    <n v="16"/>
    <x v="1"/>
    <x v="0"/>
  </r>
  <r>
    <s v="4-obf-v0.png"/>
    <n v="0"/>
    <n v="-1"/>
    <n v="-2"/>
    <n v="-2"/>
    <n v="-1"/>
    <n v="0"/>
    <x v="2"/>
    <x v="0"/>
  </r>
  <r>
    <s v="4-obf-v1.png"/>
    <n v="6"/>
    <n v="4"/>
    <n v="3"/>
    <n v="3"/>
    <n v="4"/>
    <n v="6"/>
    <x v="2"/>
    <x v="0"/>
  </r>
  <r>
    <s v="4-obf-v2.png"/>
    <n v="7"/>
    <n v="16"/>
    <n v="8"/>
    <n v="7"/>
    <n v="8"/>
    <n v="16"/>
    <x v="1"/>
    <x v="0"/>
  </r>
  <r>
    <s v="54-clean-v0.png"/>
    <n v="0"/>
    <n v="15"/>
    <n v="12"/>
    <n v="0"/>
    <n v="12"/>
    <n v="15"/>
    <x v="1"/>
    <x v="0"/>
  </r>
  <r>
    <s v="54-clean-v1.png"/>
    <n v="9"/>
    <n v="15"/>
    <n v="24"/>
    <n v="9"/>
    <n v="15"/>
    <n v="24"/>
    <x v="1"/>
    <x v="0"/>
  </r>
  <r>
    <s v="54-clean-v2.png"/>
    <n v="0"/>
    <n v="6"/>
    <n v="2"/>
    <n v="0"/>
    <n v="2"/>
    <n v="6"/>
    <x v="1"/>
    <x v="0"/>
  </r>
  <r>
    <s v="54-obf-v0.png"/>
    <n v="0"/>
    <n v="15"/>
    <n v="12"/>
    <n v="0"/>
    <n v="12"/>
    <n v="15"/>
    <x v="1"/>
    <x v="0"/>
  </r>
  <r>
    <s v="54-obf-v1.png"/>
    <n v="9"/>
    <n v="15"/>
    <n v="24"/>
    <n v="9"/>
    <n v="15"/>
    <n v="24"/>
    <x v="1"/>
    <x v="0"/>
  </r>
  <r>
    <s v="54-obf-v2.png"/>
    <n v="0"/>
    <n v="6"/>
    <n v="2"/>
    <n v="0"/>
    <n v="2"/>
    <n v="6"/>
    <x v="1"/>
    <x v="0"/>
  </r>
  <r>
    <s v="57-clean-v0.png"/>
    <n v="8"/>
    <n v="5"/>
    <n v="10"/>
    <n v="5"/>
    <n v="8"/>
    <n v="10"/>
    <x v="0"/>
    <x v="0"/>
  </r>
  <r>
    <s v="57-clean-v1.png"/>
    <n v="10"/>
    <n v="13"/>
    <n v="6"/>
    <n v="6"/>
    <n v="10"/>
    <n v="13"/>
    <x v="0"/>
    <x v="0"/>
  </r>
  <r>
    <s v="57-clean-v2.png"/>
    <n v="21"/>
    <n v="20"/>
    <n v="22"/>
    <n v="20"/>
    <n v="21"/>
    <n v="22"/>
    <x v="0"/>
    <x v="0"/>
  </r>
  <r>
    <s v="57-obf-v0.png"/>
    <n v="8"/>
    <n v="5"/>
    <n v="10"/>
    <n v="5"/>
    <n v="8"/>
    <n v="10"/>
    <x v="0"/>
    <x v="0"/>
  </r>
  <r>
    <s v="57-obf-v1.png"/>
    <n v="10"/>
    <n v="13"/>
    <n v="6"/>
    <n v="6"/>
    <n v="10"/>
    <n v="13"/>
    <x v="0"/>
    <x v="0"/>
  </r>
  <r>
    <s v="57-obf-v2.png"/>
    <n v="21"/>
    <n v="20"/>
    <n v="22"/>
    <n v="20"/>
    <n v="21"/>
    <n v="22"/>
    <x v="0"/>
    <x v="0"/>
  </r>
  <r>
    <s v="5-clean-v0.png"/>
    <s v="true"/>
    <s v="false"/>
    <s v="EMPTY"/>
    <s v="false"/>
    <s v="true"/>
    <s v="EMPTY"/>
    <x v="0"/>
    <x v="1"/>
  </r>
  <r>
    <s v="5-clean-v1.png"/>
    <s v="true"/>
    <s v="false"/>
    <s v="EMPTY"/>
    <s v="false"/>
    <s v="true"/>
    <s v="EMPTY"/>
    <x v="0"/>
    <x v="1"/>
  </r>
  <r>
    <s v="5-clean-v2.png"/>
    <s v="false"/>
    <s v="true"/>
    <s v="EMPTY"/>
    <s v="false"/>
    <s v="true"/>
    <s v="EMPTY"/>
    <x v="1"/>
    <x v="1"/>
  </r>
  <r>
    <s v="5-obf-v0.png"/>
    <s v="true"/>
    <s v="false"/>
    <s v="EMPTY"/>
    <s v="false"/>
    <s v="true"/>
    <s v="EMPTY"/>
    <x v="0"/>
    <x v="1"/>
  </r>
  <r>
    <s v="5-obf-v1.png"/>
    <s v="true"/>
    <s v="false"/>
    <s v="EMPTY"/>
    <s v="false"/>
    <s v="true"/>
    <s v="EMPTY"/>
    <x v="0"/>
    <x v="1"/>
  </r>
  <r>
    <s v="5-obf-v2.png"/>
    <s v="false"/>
    <s v="true"/>
    <s v="EMPTY"/>
    <s v="false"/>
    <s v="true"/>
    <s v="EMPTY"/>
    <x v="1"/>
    <x v="1"/>
  </r>
  <r>
    <s v="60-clean-v0.png"/>
    <n v="32"/>
    <n v="256"/>
    <n v="288"/>
    <n v="32"/>
    <n v="256"/>
    <n v="288"/>
    <x v="1"/>
    <x v="0"/>
  </r>
  <r>
    <s v="60-clean-v1.png"/>
    <n v="0"/>
    <n v="2"/>
    <n v="512"/>
    <n v="0"/>
    <n v="2"/>
    <n v="512"/>
    <x v="1"/>
    <x v="0"/>
  </r>
  <r>
    <s v="60-clean-v2.png"/>
    <n v="40"/>
    <n v="255"/>
    <n v="296"/>
    <n v="40"/>
    <n v="255"/>
    <n v="296"/>
    <x v="1"/>
    <x v="0"/>
  </r>
  <r>
    <s v="60-obf-v0.png"/>
    <n v="32"/>
    <n v="256"/>
    <n v="288"/>
    <n v="32"/>
    <n v="256"/>
    <n v="288"/>
    <x v="1"/>
    <x v="0"/>
  </r>
  <r>
    <s v="60-obf-v1.png"/>
    <n v="0"/>
    <n v="2"/>
    <n v="512"/>
    <n v="0"/>
    <n v="2"/>
    <n v="512"/>
    <x v="1"/>
    <x v="0"/>
  </r>
  <r>
    <s v="60-obf-v2.png"/>
    <n v="40"/>
    <n v="255"/>
    <n v="296"/>
    <n v="40"/>
    <n v="255"/>
    <n v="296"/>
    <x v="1"/>
    <x v="0"/>
  </r>
  <r>
    <s v="61-clean-v0.png"/>
    <n v="4"/>
    <n v="2"/>
    <n v="0"/>
    <n v="0"/>
    <n v="2"/>
    <n v="4"/>
    <x v="2"/>
    <x v="0"/>
  </r>
  <r>
    <s v="61-clean-v1.png"/>
    <n v="256"/>
    <n v="128"/>
    <n v="42"/>
    <n v="42"/>
    <n v="128"/>
    <n v="256"/>
    <x v="2"/>
    <x v="0"/>
  </r>
  <r>
    <s v="61-clean-v2.png"/>
    <n v="66"/>
    <n v="6"/>
    <n v="60"/>
    <n v="6"/>
    <n v="60"/>
    <n v="66"/>
    <x v="2"/>
    <x v="0"/>
  </r>
  <r>
    <s v="61-obf-v0.png"/>
    <n v="4"/>
    <n v="2"/>
    <n v="0"/>
    <n v="0"/>
    <n v="2"/>
    <n v="4"/>
    <x v="2"/>
    <x v="0"/>
  </r>
  <r>
    <s v="61-obf-v1.png"/>
    <n v="256"/>
    <n v="128"/>
    <n v="42"/>
    <n v="42"/>
    <n v="128"/>
    <n v="256"/>
    <x v="2"/>
    <x v="0"/>
  </r>
  <r>
    <s v="61-obf-v2.png"/>
    <n v="66"/>
    <n v="6"/>
    <n v="60"/>
    <n v="6"/>
    <n v="60"/>
    <n v="66"/>
    <x v="2"/>
    <x v="0"/>
  </r>
  <r>
    <s v="62-clean-v0.png"/>
    <n v="3"/>
    <n v="6"/>
    <n v="1"/>
    <n v="1"/>
    <n v="3"/>
    <n v="6"/>
    <x v="0"/>
    <x v="0"/>
  </r>
  <r>
    <s v="62-clean-v1.png"/>
    <n v="60"/>
    <n v="30"/>
    <n v="84"/>
    <n v="30"/>
    <n v="60"/>
    <n v="84"/>
    <x v="0"/>
    <x v="0"/>
  </r>
  <r>
    <s v="62-clean-v2.png"/>
    <n v="50"/>
    <n v="500"/>
    <n v="100"/>
    <n v="50"/>
    <n v="100"/>
    <n v="500"/>
    <x v="1"/>
    <x v="0"/>
  </r>
  <r>
    <s v="62-obf-v0.png"/>
    <n v="3"/>
    <n v="6"/>
    <n v="1"/>
    <n v="1"/>
    <n v="3"/>
    <n v="6"/>
    <x v="0"/>
    <x v="0"/>
  </r>
  <r>
    <s v="62-obf-v1.png"/>
    <n v="60"/>
    <n v="30"/>
    <n v="84"/>
    <n v="30"/>
    <n v="60"/>
    <n v="84"/>
    <x v="0"/>
    <x v="0"/>
  </r>
  <r>
    <s v="62-obf-v2.png"/>
    <n v="50"/>
    <n v="500"/>
    <n v="100"/>
    <n v="50"/>
    <n v="100"/>
    <n v="500"/>
    <x v="1"/>
    <x v="0"/>
  </r>
  <r>
    <s v="63-clean-v0.png"/>
    <n v="9"/>
    <n v="7"/>
    <n v="5"/>
    <n v="5"/>
    <n v="7"/>
    <n v="9"/>
    <x v="2"/>
    <x v="0"/>
  </r>
  <r>
    <s v="63-clean-v1.png"/>
    <n v="5"/>
    <n v="10"/>
    <n v="12"/>
    <n v="5"/>
    <n v="10"/>
    <n v="12"/>
    <x v="1"/>
    <x v="0"/>
  </r>
  <r>
    <s v="63-clean-v2.png"/>
    <n v="80"/>
    <n v="50"/>
    <n v="40"/>
    <n v="40"/>
    <n v="50"/>
    <n v="80"/>
    <x v="2"/>
    <x v="0"/>
  </r>
  <r>
    <s v="63-obf-v0.png"/>
    <n v="9"/>
    <n v="7"/>
    <n v="5"/>
    <n v="5"/>
    <n v="7"/>
    <n v="9"/>
    <x v="2"/>
    <x v="0"/>
  </r>
  <r>
    <s v="63-obf-v1.png"/>
    <n v="5"/>
    <n v="10"/>
    <n v="12"/>
    <n v="5"/>
    <n v="10"/>
    <n v="12"/>
    <x v="1"/>
    <x v="0"/>
  </r>
  <r>
    <s v="63-obf-v2.png"/>
    <n v="80"/>
    <n v="50"/>
    <n v="40"/>
    <n v="40"/>
    <n v="50"/>
    <n v="80"/>
    <x v="2"/>
    <x v="0"/>
  </r>
  <r>
    <s v="6-clean-v0.png"/>
    <s v="true"/>
    <s v="false"/>
    <s v="EMPTY"/>
    <s v="false"/>
    <s v="true"/>
    <s v="EMPTY"/>
    <x v="0"/>
    <x v="1"/>
  </r>
  <r>
    <s v="6-clean-v1.png"/>
    <s v="true"/>
    <s v="false"/>
    <s v="EMPTY"/>
    <s v="false"/>
    <s v="true"/>
    <s v="EMPTY"/>
    <x v="0"/>
    <x v="1"/>
  </r>
  <r>
    <s v="6-clean-v2.png"/>
    <s v="true"/>
    <s v="false"/>
    <s v="EMPTY"/>
    <s v="false"/>
    <s v="true"/>
    <s v="EMPTY"/>
    <x v="0"/>
    <x v="1"/>
  </r>
  <r>
    <s v="6-obf-v0.png"/>
    <s v="true"/>
    <s v="false"/>
    <s v="EMPTY"/>
    <s v="false"/>
    <s v="true"/>
    <s v="EMPTY"/>
    <x v="0"/>
    <x v="1"/>
  </r>
  <r>
    <s v="6-obf-v1.png"/>
    <s v="true"/>
    <s v="false"/>
    <s v="EMPTY"/>
    <s v="false"/>
    <s v="true"/>
    <s v="EMPTY"/>
    <x v="0"/>
    <x v="1"/>
  </r>
  <r>
    <s v="6-obf-v2.png"/>
    <s v="true"/>
    <s v="false"/>
    <s v="EMPTY"/>
    <s v="false"/>
    <s v="true"/>
    <s v="EMPTY"/>
    <x v="0"/>
    <x v="1"/>
  </r>
  <r>
    <s v="7-clean-v0.png"/>
    <n v="5"/>
    <n v="6"/>
    <n v="7"/>
    <n v="5"/>
    <n v="6"/>
    <n v="7"/>
    <x v="1"/>
    <x v="0"/>
  </r>
  <r>
    <s v="7-clean-v1.png"/>
    <n v="7"/>
    <n v="8"/>
    <n v="9"/>
    <n v="7"/>
    <n v="8"/>
    <n v="9"/>
    <x v="1"/>
    <x v="0"/>
  </r>
  <r>
    <s v="7-clean-v2.png"/>
    <n v="8"/>
    <n v="9"/>
    <n v="17"/>
    <n v="8"/>
    <n v="9"/>
    <n v="17"/>
    <x v="1"/>
    <x v="0"/>
  </r>
  <r>
    <s v="7-obf-v0.png"/>
    <n v="5"/>
    <n v="6"/>
    <n v="7"/>
    <n v="5"/>
    <n v="6"/>
    <n v="7"/>
    <x v="1"/>
    <x v="0"/>
  </r>
  <r>
    <s v="7-obf-v1.png"/>
    <n v="7"/>
    <n v="8"/>
    <n v="9"/>
    <n v="7"/>
    <n v="8"/>
    <n v="9"/>
    <x v="1"/>
    <x v="0"/>
  </r>
  <r>
    <s v="7-obf-v2.png"/>
    <n v="8"/>
    <n v="9"/>
    <n v="17"/>
    <n v="8"/>
    <n v="9"/>
    <n v="17"/>
    <x v="1"/>
    <x v="0"/>
  </r>
  <r>
    <s v="8-clean-v0.png"/>
    <s v="true"/>
    <s v="false"/>
    <s v="EMPTY"/>
    <s v="false"/>
    <s v="true"/>
    <s v="EMPTY"/>
    <x v="0"/>
    <x v="1"/>
  </r>
  <r>
    <s v="8-clean-v1.png"/>
    <s v="false"/>
    <s v="true"/>
    <s v="EMPTY"/>
    <s v="false"/>
    <s v="true"/>
    <s v="EMPTY"/>
    <x v="1"/>
    <x v="1"/>
  </r>
  <r>
    <s v="8-clean-v2.png"/>
    <s v="false"/>
    <s v="true"/>
    <s v="EMPTY"/>
    <s v="false"/>
    <s v="true"/>
    <s v="EMPTY"/>
    <x v="1"/>
    <x v="1"/>
  </r>
  <r>
    <s v="8-obf-v0.png"/>
    <s v="true"/>
    <s v="false"/>
    <s v="EMPTY"/>
    <s v="false"/>
    <s v="true"/>
    <s v="EMPTY"/>
    <x v="0"/>
    <x v="1"/>
  </r>
  <r>
    <s v="8-obf-v1.png"/>
    <s v="false"/>
    <s v="true"/>
    <s v="EMPTY"/>
    <s v="false"/>
    <s v="true"/>
    <s v="EMPTY"/>
    <x v="1"/>
    <x v="1"/>
  </r>
  <r>
    <s v="8-obf-v2.png"/>
    <s v="false"/>
    <s v="true"/>
    <s v="EMPTY"/>
    <s v="false"/>
    <s v="true"/>
    <s v="EMPTY"/>
    <x v="1"/>
    <x v="1"/>
  </r>
  <r>
    <s v="9-clean-v0.png"/>
    <s v="false"/>
    <s v="true"/>
    <s v="EMPTY"/>
    <s v="false"/>
    <s v="true"/>
    <s v="EMPTY"/>
    <x v="1"/>
    <x v="1"/>
  </r>
  <r>
    <s v="9-clean-v1.png"/>
    <s v="true"/>
    <s v="false"/>
    <s v="EMPTY"/>
    <s v="false"/>
    <s v="true"/>
    <s v="EMPTY"/>
    <x v="0"/>
    <x v="1"/>
  </r>
  <r>
    <s v="9-clean-v2.png"/>
    <s v="false"/>
    <s v="true"/>
    <s v="EMPTY"/>
    <s v="false"/>
    <s v="true"/>
    <s v="EMPTY"/>
    <x v="1"/>
    <x v="1"/>
  </r>
  <r>
    <s v="9-obf-v0.png"/>
    <s v="false"/>
    <s v="true"/>
    <s v="EMPTY"/>
    <s v="false"/>
    <s v="true"/>
    <s v="EMPTY"/>
    <x v="1"/>
    <x v="1"/>
  </r>
  <r>
    <s v="9-obf-v1.png"/>
    <s v="true"/>
    <s v="false"/>
    <s v="EMPTY"/>
    <s v="false"/>
    <s v="true"/>
    <s v="EMPTY"/>
    <x v="0"/>
    <x v="1"/>
  </r>
  <r>
    <s v="9-obf-v2.png"/>
    <s v="false"/>
    <s v="true"/>
    <s v="EMPTY"/>
    <s v="false"/>
    <s v="true"/>
    <s v="EMPTY"/>
    <x v="1"/>
    <x v="1"/>
  </r>
  <r>
    <s v="-clean-v0.png"/>
    <s v="true"/>
    <s v="false"/>
    <s v="EMPTY"/>
    <s v="false"/>
    <s v="true"/>
    <s v="EMPTY"/>
    <x v="0"/>
    <x v="1"/>
  </r>
  <r>
    <s v="-clean-v1.png"/>
    <s v="false"/>
    <s v="true"/>
    <s v="EMPTY"/>
    <s v="false"/>
    <s v="true"/>
    <s v="EMPTY"/>
    <x v="1"/>
    <x v="1"/>
  </r>
  <r>
    <s v="-clean-v2.png"/>
    <s v="false"/>
    <s v="true"/>
    <s v="EMPTY"/>
    <s v="false"/>
    <s v="true"/>
    <s v="EMPTY"/>
    <x v="1"/>
    <x v="1"/>
  </r>
  <r>
    <s v="-obf-v0.png"/>
    <s v="true"/>
    <s v="false"/>
    <s v="EMPTY"/>
    <s v="false"/>
    <s v="true"/>
    <s v="EMPTY"/>
    <x v="0"/>
    <x v="1"/>
  </r>
  <r>
    <s v="-obf-v1.png"/>
    <s v="false"/>
    <s v="true"/>
    <s v="EMPTY"/>
    <s v="false"/>
    <s v="true"/>
    <s v="EMPTY"/>
    <x v="1"/>
    <x v="1"/>
  </r>
  <r>
    <s v="-obf-v2.png"/>
    <s v="false"/>
    <s v="true"/>
    <s v="EMPTY"/>
    <s v="false"/>
    <s v="true"/>
    <s v="EMPTY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2333C-CC0D-4F13-AE00-C888685FAB88}" name="PivotTable2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K2:O6" firstHeaderRow="1" firstDataRow="2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Anzahl von filename" fld="0" subtotal="count" baseField="8" baseItem="0"/>
  </dataFields>
  <formats count="1">
    <format dxfId="19">
      <pivotArea collapsedLevelsAreSubtotals="1" fieldPosition="0">
        <references count="2">
          <reference field="7" count="1" selected="0">
            <x v="0"/>
          </reference>
          <reference field="8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H145" totalsRowShown="0">
  <autoFilter ref="A1:H145" xr:uid="{00000000-0009-0000-0100-000001000000}"/>
  <sortState xmlns:xlrd2="http://schemas.microsoft.com/office/spreadsheetml/2017/richdata2" ref="A2:H145">
    <sortCondition ref="A1:A145"/>
  </sortState>
  <tableColumns count="8">
    <tableColumn id="1" xr3:uid="{00000000-0010-0000-0000-000001000000}" name="filename"/>
    <tableColumn id="2" xr3:uid="{00000000-0010-0000-0000-000002000000}" name="right_answer"/>
    <tableColumn id="13" xr3:uid="{CCDF7C0A-57A9-4D25-9451-A374E03281C8}" name="possible_wrong_answers"/>
    <tableColumn id="5" xr3:uid="{00000000-0010-0000-0000-000005000000}" name="number"/>
    <tableColumn id="6" xr3:uid="{00000000-0010-0000-0000-000006000000}" name="variant"/>
    <tableColumn id="7" xr3:uid="{00000000-0010-0000-0000-000007000000}" name="version"/>
    <tableColumn id="10" xr3:uid="{00000000-0010-0000-0000-00000A000000}" name="Langhout AoC_category"/>
    <tableColumn id="11" xr3:uid="{8F44F8AC-7A9E-42D9-9AE0-4B3FE05C1B9E}" name="AoC_categor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235E01-3269-47B4-B6AD-1B1042CCBA68}" name="Tabelle2" displayName="Tabelle2" ref="A1:G145" totalsRowShown="0" headerRowDxfId="10" dataDxfId="9">
  <autoFilter ref="A1:G145" xr:uid="{E1235E01-3269-47B4-B6AD-1B1042CCBA68}"/>
  <sortState xmlns:xlrd2="http://schemas.microsoft.com/office/spreadsheetml/2017/richdata2" ref="A2:G145">
    <sortCondition ref="F2:F145"/>
    <sortCondition ref="D2:D145"/>
    <sortCondition ref="E2:E145"/>
  </sortState>
  <tableColumns count="7">
    <tableColumn id="1" xr3:uid="{580D5FAE-0497-4052-8D31-0971952F15C9}" name="filename" dataDxfId="17"/>
    <tableColumn id="2" xr3:uid="{E9AA5A51-F029-423E-9DB2-EF86455D76B1}" name="right_answer" dataDxfId="16"/>
    <tableColumn id="3" xr3:uid="{C51766A0-4387-4289-9FBF-4889E7A9AA33}" name="possible_wrong_answers" dataDxfId="15"/>
    <tableColumn id="4" xr3:uid="{0E99D0D6-99E3-4EC3-B58A-7BB3AC675F67}" name="number" dataDxfId="14"/>
    <tableColumn id="5" xr3:uid="{0E24BECB-17B3-4CA8-AC2E-8DD2AEA30E4E}" name="variant" dataDxfId="13"/>
    <tableColumn id="6" xr3:uid="{6F92087A-31EF-4296-9080-51BC0B148866}" name="version" dataDxfId="12"/>
    <tableColumn id="7" xr3:uid="{002C58F4-EC38-4F43-81E0-F07E7B13D263}" name="Spalte1" dataDxfId="1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65A888-65F1-4748-B1D1-E4900415F473}" name="Tabelle3" displayName="Tabelle3" ref="I6:O78" totalsRowShown="0" headerRowDxfId="1" dataDxfId="0">
  <autoFilter ref="I6:O78" xr:uid="{E265A888-65F1-4748-B1D1-E4900415F473}"/>
  <tableColumns count="7">
    <tableColumn id="1" xr3:uid="{CA46C816-3C8A-45DA-8747-C57A4F459647}" name="filename" dataDxfId="8"/>
    <tableColumn id="2" xr3:uid="{F1B50500-6216-4A58-9C2E-5543869D9653}" name="right_answer" dataDxfId="7"/>
    <tableColumn id="3" xr3:uid="{0A1D83D4-A73F-419B-B15C-9BD12556EE4A}" name="possible_wrong_answers" dataDxfId="6"/>
    <tableColumn id="4" xr3:uid="{E8BD13EF-A163-4863-A783-710E261178E3}" name="number" dataDxfId="5"/>
    <tableColumn id="5" xr3:uid="{F7D11FFB-F592-4EE2-95C7-7714F0DA0281}" name="variant" dataDxfId="4"/>
    <tableColumn id="6" xr3:uid="{29E9F09C-BAE8-4968-A631-46154F1D8999}" name="version" dataDxfId="3"/>
    <tableColumn id="7" xr3:uid="{22817ABA-799A-45D0-B068-2D6D79C75DB0}" name="Spalte1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topLeftCell="A89" zoomScaleNormal="100" workbookViewId="0">
      <selection activeCell="A2" sqref="A2:F145"/>
    </sheetView>
  </sheetViews>
  <sheetFormatPr baseColWidth="10" defaultRowHeight="13.8" x14ac:dyDescent="0.25"/>
  <cols>
    <col min="1" max="1" width="13.796875" customWidth="1"/>
    <col min="2" max="2" width="16.5" bestFit="1" customWidth="1"/>
    <col min="3" max="3" width="14.69921875" customWidth="1"/>
    <col min="4" max="4" width="13.8984375" customWidth="1"/>
    <col min="6" max="6" width="9.5" bestFit="1" customWidth="1"/>
    <col min="7" max="7" width="24.8984375" customWidth="1"/>
    <col min="10" max="10" width="6.296875" bestFit="1" customWidth="1"/>
  </cols>
  <sheetData>
    <row r="1" spans="1:8" x14ac:dyDescent="0.25">
      <c r="A1" t="s">
        <v>0</v>
      </c>
      <c r="B1" t="s">
        <v>1</v>
      </c>
      <c r="C1" t="s">
        <v>154</v>
      </c>
      <c r="D1" t="s">
        <v>155</v>
      </c>
      <c r="E1" t="s">
        <v>138</v>
      </c>
      <c r="F1" t="s">
        <v>139</v>
      </c>
      <c r="G1" t="s">
        <v>197</v>
      </c>
      <c r="H1" t="s">
        <v>156</v>
      </c>
    </row>
    <row r="2" spans="1:8" x14ac:dyDescent="0.25">
      <c r="A2" t="s">
        <v>4</v>
      </c>
      <c r="B2">
        <v>1</v>
      </c>
      <c r="C2" t="s">
        <v>159</v>
      </c>
      <c r="D2">
        <v>10</v>
      </c>
      <c r="E2" t="s">
        <v>140</v>
      </c>
      <c r="F2" t="s">
        <v>142</v>
      </c>
      <c r="G2" t="s">
        <v>201</v>
      </c>
      <c r="H2" t="s">
        <v>149</v>
      </c>
    </row>
    <row r="3" spans="1:8" x14ac:dyDescent="0.25">
      <c r="A3" t="s">
        <v>48</v>
      </c>
      <c r="B3">
        <v>-1</v>
      </c>
      <c r="C3" t="s">
        <v>166</v>
      </c>
      <c r="D3">
        <v>10</v>
      </c>
      <c r="E3" t="s">
        <v>140</v>
      </c>
      <c r="F3" t="s">
        <v>143</v>
      </c>
      <c r="G3" t="s">
        <v>201</v>
      </c>
      <c r="H3" t="s">
        <v>149</v>
      </c>
    </row>
    <row r="4" spans="1:8" x14ac:dyDescent="0.25">
      <c r="A4" t="s">
        <v>92</v>
      </c>
      <c r="B4">
        <v>7</v>
      </c>
      <c r="C4" t="s">
        <v>175</v>
      </c>
      <c r="D4">
        <v>10</v>
      </c>
      <c r="E4" t="s">
        <v>140</v>
      </c>
      <c r="F4" t="s">
        <v>144</v>
      </c>
      <c r="G4" t="s">
        <v>201</v>
      </c>
      <c r="H4" t="s">
        <v>149</v>
      </c>
    </row>
    <row r="5" spans="1:8" x14ac:dyDescent="0.25">
      <c r="A5" t="s">
        <v>5</v>
      </c>
      <c r="B5">
        <v>1</v>
      </c>
      <c r="C5" t="s">
        <v>159</v>
      </c>
      <c r="D5">
        <v>10</v>
      </c>
      <c r="E5" t="s">
        <v>141</v>
      </c>
      <c r="F5" t="s">
        <v>142</v>
      </c>
      <c r="G5" t="s">
        <v>201</v>
      </c>
      <c r="H5" t="s">
        <v>149</v>
      </c>
    </row>
    <row r="6" spans="1:8" x14ac:dyDescent="0.25">
      <c r="A6" t="s">
        <v>49</v>
      </c>
      <c r="B6">
        <v>-1</v>
      </c>
      <c r="C6" t="s">
        <v>166</v>
      </c>
      <c r="D6">
        <v>10</v>
      </c>
      <c r="E6" t="s">
        <v>141</v>
      </c>
      <c r="F6" t="s">
        <v>143</v>
      </c>
      <c r="G6" t="s">
        <v>201</v>
      </c>
      <c r="H6" t="s">
        <v>149</v>
      </c>
    </row>
    <row r="7" spans="1:8" x14ac:dyDescent="0.25">
      <c r="A7" t="s">
        <v>93</v>
      </c>
      <c r="B7">
        <v>7</v>
      </c>
      <c r="C7" t="s">
        <v>175</v>
      </c>
      <c r="D7">
        <v>10</v>
      </c>
      <c r="E7" t="s">
        <v>141</v>
      </c>
      <c r="F7" t="s">
        <v>144</v>
      </c>
      <c r="G7" t="s">
        <v>201</v>
      </c>
      <c r="H7" t="s">
        <v>149</v>
      </c>
    </row>
    <row r="8" spans="1:8" x14ac:dyDescent="0.25">
      <c r="A8" t="s">
        <v>6</v>
      </c>
      <c r="B8" t="s">
        <v>2</v>
      </c>
      <c r="C8" t="s">
        <v>3</v>
      </c>
      <c r="D8">
        <v>11</v>
      </c>
      <c r="E8" t="s">
        <v>140</v>
      </c>
      <c r="F8" t="s">
        <v>142</v>
      </c>
      <c r="G8" t="s">
        <v>201</v>
      </c>
      <c r="H8" t="s">
        <v>149</v>
      </c>
    </row>
    <row r="9" spans="1:8" x14ac:dyDescent="0.25">
      <c r="A9" t="s">
        <v>50</v>
      </c>
      <c r="B9" t="s">
        <v>3</v>
      </c>
      <c r="C9" t="s">
        <v>2</v>
      </c>
      <c r="D9">
        <v>11</v>
      </c>
      <c r="E9" t="s">
        <v>140</v>
      </c>
      <c r="F9" t="s">
        <v>143</v>
      </c>
      <c r="G9" t="s">
        <v>201</v>
      </c>
      <c r="H9" t="s">
        <v>149</v>
      </c>
    </row>
    <row r="10" spans="1:8" x14ac:dyDescent="0.25">
      <c r="A10" t="s">
        <v>94</v>
      </c>
      <c r="B10" t="s">
        <v>3</v>
      </c>
      <c r="C10" t="s">
        <v>2</v>
      </c>
      <c r="D10">
        <v>11</v>
      </c>
      <c r="E10" t="s">
        <v>140</v>
      </c>
      <c r="F10" t="s">
        <v>144</v>
      </c>
      <c r="G10" t="s">
        <v>201</v>
      </c>
      <c r="H10" t="s">
        <v>149</v>
      </c>
    </row>
    <row r="11" spans="1:8" x14ac:dyDescent="0.25">
      <c r="A11" t="s">
        <v>7</v>
      </c>
      <c r="B11" t="s">
        <v>2</v>
      </c>
      <c r="C11" t="s">
        <v>3</v>
      </c>
      <c r="D11">
        <v>11</v>
      </c>
      <c r="E11" t="s">
        <v>141</v>
      </c>
      <c r="F11" t="s">
        <v>142</v>
      </c>
      <c r="G11" t="s">
        <v>201</v>
      </c>
      <c r="H11" t="s">
        <v>149</v>
      </c>
    </row>
    <row r="12" spans="1:8" x14ac:dyDescent="0.25">
      <c r="A12" t="s">
        <v>51</v>
      </c>
      <c r="B12" t="s">
        <v>3</v>
      </c>
      <c r="C12" t="s">
        <v>2</v>
      </c>
      <c r="D12">
        <v>11</v>
      </c>
      <c r="E12" t="s">
        <v>141</v>
      </c>
      <c r="F12" t="s">
        <v>143</v>
      </c>
      <c r="G12" t="s">
        <v>201</v>
      </c>
      <c r="H12" t="s">
        <v>149</v>
      </c>
    </row>
    <row r="13" spans="1:8" x14ac:dyDescent="0.25">
      <c r="A13" t="s">
        <v>95</v>
      </c>
      <c r="B13" t="s">
        <v>3</v>
      </c>
      <c r="C13" t="s">
        <v>2</v>
      </c>
      <c r="D13">
        <v>11</v>
      </c>
      <c r="E13" t="s">
        <v>141</v>
      </c>
      <c r="F13" t="s">
        <v>144</v>
      </c>
      <c r="G13" t="s">
        <v>201</v>
      </c>
      <c r="H13" t="s">
        <v>149</v>
      </c>
    </row>
    <row r="14" spans="1:8" x14ac:dyDescent="0.25">
      <c r="A14" t="s">
        <v>8</v>
      </c>
      <c r="B14">
        <v>7</v>
      </c>
      <c r="C14" t="s">
        <v>410</v>
      </c>
      <c r="D14">
        <v>12</v>
      </c>
      <c r="E14" t="s">
        <v>140</v>
      </c>
      <c r="F14" t="s">
        <v>142</v>
      </c>
      <c r="G14" t="s">
        <v>201</v>
      </c>
      <c r="H14" t="s">
        <v>149</v>
      </c>
    </row>
    <row r="15" spans="1:8" x14ac:dyDescent="0.25">
      <c r="A15" t="s">
        <v>52</v>
      </c>
      <c r="B15">
        <v>0</v>
      </c>
      <c r="C15" t="s">
        <v>191</v>
      </c>
      <c r="D15">
        <v>12</v>
      </c>
      <c r="E15" t="s">
        <v>140</v>
      </c>
      <c r="F15" t="s">
        <v>143</v>
      </c>
      <c r="G15" t="s">
        <v>201</v>
      </c>
      <c r="H15" t="s">
        <v>149</v>
      </c>
    </row>
    <row r="16" spans="1:8" x14ac:dyDescent="0.25">
      <c r="A16" t="s">
        <v>96</v>
      </c>
      <c r="B16">
        <v>4</v>
      </c>
      <c r="C16" t="s">
        <v>176</v>
      </c>
      <c r="D16">
        <v>12</v>
      </c>
      <c r="E16" t="s">
        <v>140</v>
      </c>
      <c r="F16" t="s">
        <v>144</v>
      </c>
      <c r="G16" t="s">
        <v>201</v>
      </c>
      <c r="H16" t="s">
        <v>149</v>
      </c>
    </row>
    <row r="17" spans="1:8" x14ac:dyDescent="0.25">
      <c r="A17" t="s">
        <v>9</v>
      </c>
      <c r="B17">
        <v>7</v>
      </c>
      <c r="C17" t="s">
        <v>410</v>
      </c>
      <c r="D17">
        <v>12</v>
      </c>
      <c r="E17" t="s">
        <v>141</v>
      </c>
      <c r="F17" t="s">
        <v>142</v>
      </c>
      <c r="G17" t="s">
        <v>201</v>
      </c>
      <c r="H17" t="s">
        <v>149</v>
      </c>
    </row>
    <row r="18" spans="1:8" x14ac:dyDescent="0.25">
      <c r="A18" t="s">
        <v>53</v>
      </c>
      <c r="B18">
        <v>0</v>
      </c>
      <c r="C18" t="s">
        <v>191</v>
      </c>
      <c r="D18">
        <v>12</v>
      </c>
      <c r="E18" t="s">
        <v>141</v>
      </c>
      <c r="F18" t="s">
        <v>143</v>
      </c>
      <c r="G18" t="s">
        <v>201</v>
      </c>
      <c r="H18" t="s">
        <v>149</v>
      </c>
    </row>
    <row r="19" spans="1:8" x14ac:dyDescent="0.25">
      <c r="A19" t="s">
        <v>97</v>
      </c>
      <c r="B19">
        <v>4</v>
      </c>
      <c r="C19" t="s">
        <v>176</v>
      </c>
      <c r="D19">
        <v>12</v>
      </c>
      <c r="E19" t="s">
        <v>141</v>
      </c>
      <c r="F19" t="s">
        <v>144</v>
      </c>
      <c r="G19" t="s">
        <v>201</v>
      </c>
      <c r="H19" t="s">
        <v>149</v>
      </c>
    </row>
    <row r="20" spans="1:8" x14ac:dyDescent="0.25">
      <c r="A20" t="s">
        <v>10</v>
      </c>
      <c r="B20">
        <v>5</v>
      </c>
      <c r="C20" t="s">
        <v>186</v>
      </c>
      <c r="D20">
        <v>13</v>
      </c>
      <c r="E20" t="s">
        <v>140</v>
      </c>
      <c r="F20" t="s">
        <v>142</v>
      </c>
      <c r="G20" t="s">
        <v>202</v>
      </c>
      <c r="H20" t="s">
        <v>150</v>
      </c>
    </row>
    <row r="21" spans="1:8" x14ac:dyDescent="0.25">
      <c r="A21" t="s">
        <v>54</v>
      </c>
      <c r="B21">
        <v>11</v>
      </c>
      <c r="C21" t="s">
        <v>192</v>
      </c>
      <c r="D21">
        <v>13</v>
      </c>
      <c r="E21" t="s">
        <v>140</v>
      </c>
      <c r="F21" t="s">
        <v>143</v>
      </c>
      <c r="G21" t="s">
        <v>202</v>
      </c>
      <c r="H21" t="s">
        <v>150</v>
      </c>
    </row>
    <row r="22" spans="1:8" x14ac:dyDescent="0.25">
      <c r="A22" t="s">
        <v>98</v>
      </c>
      <c r="B22">
        <v>5</v>
      </c>
      <c r="C22" t="s">
        <v>164</v>
      </c>
      <c r="D22">
        <v>13</v>
      </c>
      <c r="E22" t="s">
        <v>140</v>
      </c>
      <c r="F22" t="s">
        <v>144</v>
      </c>
      <c r="G22" t="s">
        <v>202</v>
      </c>
      <c r="H22" t="s">
        <v>150</v>
      </c>
    </row>
    <row r="23" spans="1:8" x14ac:dyDescent="0.25">
      <c r="A23" t="s">
        <v>11</v>
      </c>
      <c r="B23">
        <v>5</v>
      </c>
      <c r="C23" t="s">
        <v>186</v>
      </c>
      <c r="D23">
        <v>13</v>
      </c>
      <c r="E23" t="s">
        <v>141</v>
      </c>
      <c r="F23" t="s">
        <v>142</v>
      </c>
      <c r="G23" t="s">
        <v>202</v>
      </c>
      <c r="H23" t="s">
        <v>150</v>
      </c>
    </row>
    <row r="24" spans="1:8" x14ac:dyDescent="0.25">
      <c r="A24" t="s">
        <v>55</v>
      </c>
      <c r="B24">
        <v>11</v>
      </c>
      <c r="C24" t="s">
        <v>192</v>
      </c>
      <c r="D24">
        <v>13</v>
      </c>
      <c r="E24" t="s">
        <v>141</v>
      </c>
      <c r="F24" t="s">
        <v>143</v>
      </c>
      <c r="G24" t="s">
        <v>202</v>
      </c>
      <c r="H24" t="s">
        <v>150</v>
      </c>
    </row>
    <row r="25" spans="1:8" x14ac:dyDescent="0.25">
      <c r="A25" t="s">
        <v>99</v>
      </c>
      <c r="B25">
        <v>5</v>
      </c>
      <c r="C25" t="s">
        <v>164</v>
      </c>
      <c r="D25">
        <v>13</v>
      </c>
      <c r="E25" t="s">
        <v>141</v>
      </c>
      <c r="F25" t="s">
        <v>144</v>
      </c>
      <c r="G25" t="s">
        <v>202</v>
      </c>
      <c r="H25" t="s">
        <v>150</v>
      </c>
    </row>
    <row r="26" spans="1:8" x14ac:dyDescent="0.25">
      <c r="A26" t="s">
        <v>12</v>
      </c>
      <c r="B26">
        <v>4</v>
      </c>
      <c r="C26" t="s">
        <v>411</v>
      </c>
      <c r="D26">
        <v>14</v>
      </c>
      <c r="E26" t="s">
        <v>140</v>
      </c>
      <c r="F26" t="s">
        <v>142</v>
      </c>
      <c r="G26" t="s">
        <v>202</v>
      </c>
      <c r="H26" t="s">
        <v>150</v>
      </c>
    </row>
    <row r="27" spans="1:8" x14ac:dyDescent="0.25">
      <c r="A27" t="s">
        <v>56</v>
      </c>
      <c r="B27">
        <v>12</v>
      </c>
      <c r="C27" t="s">
        <v>157</v>
      </c>
      <c r="D27">
        <v>14</v>
      </c>
      <c r="E27" t="s">
        <v>140</v>
      </c>
      <c r="F27" t="s">
        <v>143</v>
      </c>
      <c r="G27" t="s">
        <v>202</v>
      </c>
      <c r="H27" t="s">
        <v>150</v>
      </c>
    </row>
    <row r="28" spans="1:8" x14ac:dyDescent="0.25">
      <c r="A28" t="s">
        <v>100</v>
      </c>
      <c r="B28">
        <v>27</v>
      </c>
      <c r="C28" t="s">
        <v>174</v>
      </c>
      <c r="D28">
        <v>14</v>
      </c>
      <c r="E28" t="s">
        <v>140</v>
      </c>
      <c r="F28" t="s">
        <v>144</v>
      </c>
      <c r="G28" t="s">
        <v>202</v>
      </c>
      <c r="H28" t="s">
        <v>150</v>
      </c>
    </row>
    <row r="29" spans="1:8" x14ac:dyDescent="0.25">
      <c r="A29" t="s">
        <v>13</v>
      </c>
      <c r="B29">
        <v>4</v>
      </c>
      <c r="C29" t="s">
        <v>411</v>
      </c>
      <c r="D29">
        <v>14</v>
      </c>
      <c r="E29" t="s">
        <v>141</v>
      </c>
      <c r="F29" t="s">
        <v>142</v>
      </c>
      <c r="G29" t="s">
        <v>202</v>
      </c>
      <c r="H29" t="s">
        <v>150</v>
      </c>
    </row>
    <row r="30" spans="1:8" x14ac:dyDescent="0.25">
      <c r="A30" t="s">
        <v>57</v>
      </c>
      <c r="B30">
        <v>12</v>
      </c>
      <c r="C30" t="s">
        <v>157</v>
      </c>
      <c r="D30">
        <v>14</v>
      </c>
      <c r="E30" t="s">
        <v>141</v>
      </c>
      <c r="F30" t="s">
        <v>143</v>
      </c>
      <c r="G30" t="s">
        <v>202</v>
      </c>
      <c r="H30" t="s">
        <v>150</v>
      </c>
    </row>
    <row r="31" spans="1:8" x14ac:dyDescent="0.25">
      <c r="A31" t="s">
        <v>101</v>
      </c>
      <c r="B31">
        <v>27</v>
      </c>
      <c r="C31" t="s">
        <v>174</v>
      </c>
      <c r="D31">
        <v>14</v>
      </c>
      <c r="E31" t="s">
        <v>141</v>
      </c>
      <c r="F31" t="s">
        <v>144</v>
      </c>
      <c r="G31" t="s">
        <v>202</v>
      </c>
      <c r="H31" t="s">
        <v>150</v>
      </c>
    </row>
    <row r="32" spans="1:8" x14ac:dyDescent="0.25">
      <c r="A32" t="s">
        <v>210</v>
      </c>
      <c r="B32" t="s">
        <v>216</v>
      </c>
      <c r="C32" t="s">
        <v>412</v>
      </c>
      <c r="D32">
        <v>15</v>
      </c>
      <c r="E32" t="s">
        <v>140</v>
      </c>
      <c r="F32" t="s">
        <v>142</v>
      </c>
      <c r="G32" t="s">
        <v>202</v>
      </c>
      <c r="H32" t="s">
        <v>150</v>
      </c>
    </row>
    <row r="33" spans="1:8" x14ac:dyDescent="0.25">
      <c r="A33" t="s">
        <v>211</v>
      </c>
      <c r="B33" t="s">
        <v>217</v>
      </c>
      <c r="C33" t="s">
        <v>219</v>
      </c>
      <c r="D33">
        <v>15</v>
      </c>
      <c r="E33" t="s">
        <v>140</v>
      </c>
      <c r="F33" t="s">
        <v>143</v>
      </c>
      <c r="G33" t="s">
        <v>202</v>
      </c>
      <c r="H33" t="s">
        <v>150</v>
      </c>
    </row>
    <row r="34" spans="1:8" x14ac:dyDescent="0.25">
      <c r="A34" t="s">
        <v>212</v>
      </c>
      <c r="B34" t="s">
        <v>218</v>
      </c>
      <c r="C34" t="s">
        <v>413</v>
      </c>
      <c r="D34">
        <v>15</v>
      </c>
      <c r="E34" t="s">
        <v>140</v>
      </c>
      <c r="F34" t="s">
        <v>144</v>
      </c>
      <c r="G34" t="s">
        <v>202</v>
      </c>
      <c r="H34" t="s">
        <v>150</v>
      </c>
    </row>
    <row r="35" spans="1:8" x14ac:dyDescent="0.25">
      <c r="A35" t="s">
        <v>213</v>
      </c>
      <c r="B35" t="s">
        <v>216</v>
      </c>
      <c r="C35" t="s">
        <v>412</v>
      </c>
      <c r="D35">
        <v>15</v>
      </c>
      <c r="E35" t="s">
        <v>141</v>
      </c>
      <c r="F35" t="s">
        <v>142</v>
      </c>
      <c r="G35" t="s">
        <v>202</v>
      </c>
      <c r="H35" t="s">
        <v>150</v>
      </c>
    </row>
    <row r="36" spans="1:8" x14ac:dyDescent="0.25">
      <c r="A36" t="s">
        <v>214</v>
      </c>
      <c r="B36" t="s">
        <v>217</v>
      </c>
      <c r="C36" t="s">
        <v>219</v>
      </c>
      <c r="D36">
        <v>15</v>
      </c>
      <c r="E36" t="s">
        <v>141</v>
      </c>
      <c r="F36" t="s">
        <v>143</v>
      </c>
      <c r="G36" t="s">
        <v>202</v>
      </c>
      <c r="H36" t="s">
        <v>150</v>
      </c>
    </row>
    <row r="37" spans="1:8" x14ac:dyDescent="0.25">
      <c r="A37" t="s">
        <v>215</v>
      </c>
      <c r="B37" t="s">
        <v>218</v>
      </c>
      <c r="C37" t="s">
        <v>413</v>
      </c>
      <c r="D37">
        <v>15</v>
      </c>
      <c r="E37" t="s">
        <v>141</v>
      </c>
      <c r="F37" t="s">
        <v>144</v>
      </c>
      <c r="G37" t="s">
        <v>202</v>
      </c>
      <c r="H37" t="s">
        <v>150</v>
      </c>
    </row>
    <row r="38" spans="1:8" x14ac:dyDescent="0.25">
      <c r="A38" t="s">
        <v>14</v>
      </c>
      <c r="B38">
        <v>7</v>
      </c>
      <c r="C38" t="s">
        <v>187</v>
      </c>
      <c r="D38">
        <v>16</v>
      </c>
      <c r="E38" t="s">
        <v>140</v>
      </c>
      <c r="F38" t="s">
        <v>142</v>
      </c>
      <c r="G38" t="s">
        <v>203</v>
      </c>
      <c r="H38" t="s">
        <v>151</v>
      </c>
    </row>
    <row r="39" spans="1:8" x14ac:dyDescent="0.25">
      <c r="A39" t="s">
        <v>58</v>
      </c>
      <c r="B39">
        <v>5</v>
      </c>
      <c r="C39" t="s">
        <v>168</v>
      </c>
      <c r="D39">
        <v>16</v>
      </c>
      <c r="E39" t="s">
        <v>140</v>
      </c>
      <c r="F39" t="s">
        <v>143</v>
      </c>
      <c r="G39" t="s">
        <v>203</v>
      </c>
      <c r="H39" t="s">
        <v>151</v>
      </c>
    </row>
    <row r="40" spans="1:8" x14ac:dyDescent="0.25">
      <c r="A40" t="s">
        <v>102</v>
      </c>
      <c r="B40">
        <v>6</v>
      </c>
      <c r="C40" t="s">
        <v>177</v>
      </c>
      <c r="D40">
        <v>16</v>
      </c>
      <c r="E40" t="s">
        <v>140</v>
      </c>
      <c r="F40" t="s">
        <v>144</v>
      </c>
      <c r="G40" t="s">
        <v>203</v>
      </c>
      <c r="H40" t="s">
        <v>151</v>
      </c>
    </row>
    <row r="41" spans="1:8" x14ac:dyDescent="0.25">
      <c r="A41" t="s">
        <v>15</v>
      </c>
      <c r="B41">
        <v>7</v>
      </c>
      <c r="C41" t="s">
        <v>187</v>
      </c>
      <c r="D41">
        <v>16</v>
      </c>
      <c r="E41" t="s">
        <v>141</v>
      </c>
      <c r="F41" t="s">
        <v>142</v>
      </c>
      <c r="G41" t="s">
        <v>203</v>
      </c>
      <c r="H41" t="s">
        <v>151</v>
      </c>
    </row>
    <row r="42" spans="1:8" x14ac:dyDescent="0.25">
      <c r="A42" t="s">
        <v>59</v>
      </c>
      <c r="B42">
        <v>5</v>
      </c>
      <c r="C42" t="s">
        <v>168</v>
      </c>
      <c r="D42">
        <v>16</v>
      </c>
      <c r="E42" t="s">
        <v>141</v>
      </c>
      <c r="F42" t="s">
        <v>143</v>
      </c>
      <c r="G42" t="s">
        <v>203</v>
      </c>
      <c r="H42" t="s">
        <v>151</v>
      </c>
    </row>
    <row r="43" spans="1:8" x14ac:dyDescent="0.25">
      <c r="A43" t="s">
        <v>103</v>
      </c>
      <c r="B43">
        <v>6</v>
      </c>
      <c r="C43" t="s">
        <v>177</v>
      </c>
      <c r="D43">
        <v>16</v>
      </c>
      <c r="E43" t="s">
        <v>141</v>
      </c>
      <c r="F43" t="s">
        <v>144</v>
      </c>
      <c r="G43" t="s">
        <v>203</v>
      </c>
      <c r="H43" t="s">
        <v>151</v>
      </c>
    </row>
    <row r="44" spans="1:8" x14ac:dyDescent="0.25">
      <c r="A44" t="s">
        <v>16</v>
      </c>
      <c r="B44">
        <v>6</v>
      </c>
      <c r="C44" t="s">
        <v>162</v>
      </c>
      <c r="D44">
        <v>17</v>
      </c>
      <c r="E44" t="s">
        <v>140</v>
      </c>
      <c r="F44" t="s">
        <v>142</v>
      </c>
      <c r="G44" t="s">
        <v>203</v>
      </c>
      <c r="H44" t="s">
        <v>151</v>
      </c>
    </row>
    <row r="45" spans="1:8" x14ac:dyDescent="0.25">
      <c r="A45" t="s">
        <v>60</v>
      </c>
      <c r="B45">
        <v>1</v>
      </c>
      <c r="C45" t="s">
        <v>157</v>
      </c>
      <c r="D45">
        <v>17</v>
      </c>
      <c r="E45" t="s">
        <v>140</v>
      </c>
      <c r="F45" t="s">
        <v>143</v>
      </c>
      <c r="G45" t="s">
        <v>203</v>
      </c>
      <c r="H45" t="s">
        <v>151</v>
      </c>
    </row>
    <row r="46" spans="1:8" x14ac:dyDescent="0.25">
      <c r="A46" t="s">
        <v>104</v>
      </c>
      <c r="B46">
        <v>9</v>
      </c>
      <c r="C46" t="s">
        <v>178</v>
      </c>
      <c r="D46">
        <v>17</v>
      </c>
      <c r="E46" t="s">
        <v>140</v>
      </c>
      <c r="F46" t="s">
        <v>144</v>
      </c>
      <c r="G46" t="s">
        <v>203</v>
      </c>
      <c r="H46" t="s">
        <v>151</v>
      </c>
    </row>
    <row r="47" spans="1:8" x14ac:dyDescent="0.25">
      <c r="A47" t="s">
        <v>17</v>
      </c>
      <c r="B47">
        <v>6</v>
      </c>
      <c r="C47" t="s">
        <v>162</v>
      </c>
      <c r="D47">
        <v>17</v>
      </c>
      <c r="E47" t="s">
        <v>141</v>
      </c>
      <c r="F47" t="s">
        <v>142</v>
      </c>
      <c r="G47" t="s">
        <v>203</v>
      </c>
      <c r="H47" t="s">
        <v>151</v>
      </c>
    </row>
    <row r="48" spans="1:8" x14ac:dyDescent="0.25">
      <c r="A48" t="s">
        <v>61</v>
      </c>
      <c r="B48">
        <v>1</v>
      </c>
      <c r="C48" t="s">
        <v>157</v>
      </c>
      <c r="D48">
        <v>17</v>
      </c>
      <c r="E48" t="s">
        <v>141</v>
      </c>
      <c r="F48" t="s">
        <v>143</v>
      </c>
      <c r="G48" t="s">
        <v>203</v>
      </c>
      <c r="H48" t="s">
        <v>151</v>
      </c>
    </row>
    <row r="49" spans="1:8" x14ac:dyDescent="0.25">
      <c r="A49" t="s">
        <v>105</v>
      </c>
      <c r="B49">
        <v>9</v>
      </c>
      <c r="C49" t="s">
        <v>178</v>
      </c>
      <c r="D49">
        <v>17</v>
      </c>
      <c r="E49" t="s">
        <v>141</v>
      </c>
      <c r="F49" t="s">
        <v>144</v>
      </c>
      <c r="G49" t="s">
        <v>203</v>
      </c>
      <c r="H49" t="s">
        <v>151</v>
      </c>
    </row>
    <row r="50" spans="1:8" x14ac:dyDescent="0.25">
      <c r="A50" t="s">
        <v>18</v>
      </c>
      <c r="B50">
        <v>2</v>
      </c>
      <c r="C50" t="s">
        <v>160</v>
      </c>
      <c r="D50">
        <v>18</v>
      </c>
      <c r="E50" t="s">
        <v>140</v>
      </c>
      <c r="F50" t="s">
        <v>142</v>
      </c>
      <c r="G50" t="s">
        <v>203</v>
      </c>
      <c r="H50" t="s">
        <v>151</v>
      </c>
    </row>
    <row r="51" spans="1:8" x14ac:dyDescent="0.25">
      <c r="A51" t="s">
        <v>62</v>
      </c>
      <c r="B51">
        <v>2</v>
      </c>
      <c r="C51" t="s">
        <v>193</v>
      </c>
      <c r="D51">
        <v>18</v>
      </c>
      <c r="E51" t="s">
        <v>140</v>
      </c>
      <c r="F51" t="s">
        <v>143</v>
      </c>
      <c r="G51" t="s">
        <v>203</v>
      </c>
      <c r="H51" t="s">
        <v>151</v>
      </c>
    </row>
    <row r="52" spans="1:8" x14ac:dyDescent="0.25">
      <c r="A52" t="s">
        <v>106</v>
      </c>
      <c r="B52">
        <v>6</v>
      </c>
      <c r="C52" t="s">
        <v>158</v>
      </c>
      <c r="D52">
        <v>18</v>
      </c>
      <c r="E52" t="s">
        <v>140</v>
      </c>
      <c r="F52" t="s">
        <v>144</v>
      </c>
      <c r="G52" t="s">
        <v>203</v>
      </c>
      <c r="H52" t="s">
        <v>151</v>
      </c>
    </row>
    <row r="53" spans="1:8" x14ac:dyDescent="0.25">
      <c r="A53" t="s">
        <v>19</v>
      </c>
      <c r="B53">
        <v>2</v>
      </c>
      <c r="C53" t="s">
        <v>160</v>
      </c>
      <c r="D53">
        <v>18</v>
      </c>
      <c r="E53" t="s">
        <v>141</v>
      </c>
      <c r="F53" t="s">
        <v>142</v>
      </c>
      <c r="G53" t="s">
        <v>203</v>
      </c>
      <c r="H53" t="s">
        <v>151</v>
      </c>
    </row>
    <row r="54" spans="1:8" x14ac:dyDescent="0.25">
      <c r="A54" t="s">
        <v>63</v>
      </c>
      <c r="B54">
        <v>2</v>
      </c>
      <c r="C54" t="s">
        <v>193</v>
      </c>
      <c r="D54">
        <v>18</v>
      </c>
      <c r="E54" t="s">
        <v>141</v>
      </c>
      <c r="F54" t="s">
        <v>143</v>
      </c>
      <c r="G54" t="s">
        <v>203</v>
      </c>
      <c r="H54" t="s">
        <v>151</v>
      </c>
    </row>
    <row r="55" spans="1:8" x14ac:dyDescent="0.25">
      <c r="A55" t="s">
        <v>107</v>
      </c>
      <c r="B55">
        <v>6</v>
      </c>
      <c r="C55" t="s">
        <v>158</v>
      </c>
      <c r="D55">
        <v>18</v>
      </c>
      <c r="E55" t="s">
        <v>141</v>
      </c>
      <c r="F55" t="s">
        <v>144</v>
      </c>
      <c r="G55" t="s">
        <v>203</v>
      </c>
      <c r="H55" t="s">
        <v>151</v>
      </c>
    </row>
    <row r="56" spans="1:8" x14ac:dyDescent="0.25">
      <c r="A56" t="s">
        <v>20</v>
      </c>
      <c r="B56" t="s">
        <v>2</v>
      </c>
      <c r="C56" t="s">
        <v>3</v>
      </c>
      <c r="D56">
        <v>30</v>
      </c>
      <c r="E56" t="s">
        <v>140</v>
      </c>
      <c r="F56" t="s">
        <v>142</v>
      </c>
      <c r="G56" t="s">
        <v>204</v>
      </c>
      <c r="H56" t="s">
        <v>153</v>
      </c>
    </row>
    <row r="57" spans="1:8" x14ac:dyDescent="0.25">
      <c r="A57" t="s">
        <v>64</v>
      </c>
      <c r="B57" t="s">
        <v>2</v>
      </c>
      <c r="C57" t="s">
        <v>3</v>
      </c>
      <c r="D57">
        <v>30</v>
      </c>
      <c r="E57" t="s">
        <v>140</v>
      </c>
      <c r="F57" t="s">
        <v>143</v>
      </c>
      <c r="G57" t="s">
        <v>204</v>
      </c>
      <c r="H57" t="s">
        <v>153</v>
      </c>
    </row>
    <row r="58" spans="1:8" x14ac:dyDescent="0.25">
      <c r="A58" t="s">
        <v>108</v>
      </c>
      <c r="B58" t="s">
        <v>3</v>
      </c>
      <c r="C58" t="s">
        <v>2</v>
      </c>
      <c r="D58">
        <v>30</v>
      </c>
      <c r="E58" t="s">
        <v>140</v>
      </c>
      <c r="F58" t="s">
        <v>144</v>
      </c>
      <c r="G58" t="s">
        <v>204</v>
      </c>
      <c r="H58" t="s">
        <v>153</v>
      </c>
    </row>
    <row r="59" spans="1:8" x14ac:dyDescent="0.25">
      <c r="A59" t="s">
        <v>21</v>
      </c>
      <c r="B59" t="s">
        <v>2</v>
      </c>
      <c r="C59" t="s">
        <v>3</v>
      </c>
      <c r="D59">
        <v>30</v>
      </c>
      <c r="E59" t="s">
        <v>141</v>
      </c>
      <c r="F59" t="s">
        <v>142</v>
      </c>
      <c r="G59" t="s">
        <v>204</v>
      </c>
      <c r="H59" t="s">
        <v>153</v>
      </c>
    </row>
    <row r="60" spans="1:8" x14ac:dyDescent="0.25">
      <c r="A60" t="s">
        <v>65</v>
      </c>
      <c r="B60" t="s">
        <v>2</v>
      </c>
      <c r="C60" t="s">
        <v>3</v>
      </c>
      <c r="D60">
        <v>30</v>
      </c>
      <c r="E60" t="s">
        <v>141</v>
      </c>
      <c r="F60" t="s">
        <v>143</v>
      </c>
      <c r="G60" t="s">
        <v>204</v>
      </c>
      <c r="H60" t="s">
        <v>153</v>
      </c>
    </row>
    <row r="61" spans="1:8" x14ac:dyDescent="0.25">
      <c r="A61" t="s">
        <v>109</v>
      </c>
      <c r="B61" t="s">
        <v>3</v>
      </c>
      <c r="C61" t="s">
        <v>2</v>
      </c>
      <c r="D61">
        <v>30</v>
      </c>
      <c r="E61" t="s">
        <v>141</v>
      </c>
      <c r="F61" t="s">
        <v>144</v>
      </c>
      <c r="G61" t="s">
        <v>204</v>
      </c>
      <c r="H61" t="s">
        <v>153</v>
      </c>
    </row>
    <row r="62" spans="1:8" x14ac:dyDescent="0.25">
      <c r="A62" t="s">
        <v>24</v>
      </c>
      <c r="B62">
        <v>2</v>
      </c>
      <c r="C62" t="s">
        <v>160</v>
      </c>
      <c r="D62">
        <v>49</v>
      </c>
      <c r="E62" t="s">
        <v>140</v>
      </c>
      <c r="F62" t="s">
        <v>142</v>
      </c>
      <c r="G62" t="s">
        <v>205</v>
      </c>
      <c r="H62" t="s">
        <v>150</v>
      </c>
    </row>
    <row r="63" spans="1:8" x14ac:dyDescent="0.25">
      <c r="A63" t="s">
        <v>68</v>
      </c>
      <c r="B63">
        <v>22</v>
      </c>
      <c r="C63" t="s">
        <v>169</v>
      </c>
      <c r="D63">
        <v>49</v>
      </c>
      <c r="E63" t="s">
        <v>140</v>
      </c>
      <c r="F63" t="s">
        <v>143</v>
      </c>
      <c r="G63" t="s">
        <v>205</v>
      </c>
      <c r="H63" t="s">
        <v>150</v>
      </c>
    </row>
    <row r="64" spans="1:8" x14ac:dyDescent="0.25">
      <c r="A64" t="s">
        <v>112</v>
      </c>
      <c r="B64">
        <v>42</v>
      </c>
      <c r="C64" t="s">
        <v>179</v>
      </c>
      <c r="D64">
        <v>49</v>
      </c>
      <c r="E64" t="s">
        <v>140</v>
      </c>
      <c r="F64" t="s">
        <v>144</v>
      </c>
      <c r="G64" t="s">
        <v>205</v>
      </c>
      <c r="H64" t="s">
        <v>150</v>
      </c>
    </row>
    <row r="65" spans="1:8" x14ac:dyDescent="0.25">
      <c r="A65" t="s">
        <v>25</v>
      </c>
      <c r="B65">
        <v>2</v>
      </c>
      <c r="C65" t="s">
        <v>160</v>
      </c>
      <c r="D65">
        <v>49</v>
      </c>
      <c r="E65" t="s">
        <v>141</v>
      </c>
      <c r="F65" t="s">
        <v>142</v>
      </c>
      <c r="G65" t="s">
        <v>205</v>
      </c>
      <c r="H65" t="s">
        <v>150</v>
      </c>
    </row>
    <row r="66" spans="1:8" x14ac:dyDescent="0.25">
      <c r="A66" t="s">
        <v>69</v>
      </c>
      <c r="B66">
        <v>22</v>
      </c>
      <c r="C66" t="s">
        <v>169</v>
      </c>
      <c r="D66">
        <v>49</v>
      </c>
      <c r="E66" t="s">
        <v>141</v>
      </c>
      <c r="F66" t="s">
        <v>143</v>
      </c>
      <c r="G66" t="s">
        <v>205</v>
      </c>
      <c r="H66" t="s">
        <v>150</v>
      </c>
    </row>
    <row r="67" spans="1:8" x14ac:dyDescent="0.25">
      <c r="A67" t="s">
        <v>113</v>
      </c>
      <c r="B67">
        <v>42</v>
      </c>
      <c r="C67" t="s">
        <v>179</v>
      </c>
      <c r="D67">
        <v>49</v>
      </c>
      <c r="E67" t="s">
        <v>141</v>
      </c>
      <c r="F67" t="s">
        <v>144</v>
      </c>
      <c r="G67" t="s">
        <v>205</v>
      </c>
      <c r="H67" t="s">
        <v>150</v>
      </c>
    </row>
    <row r="68" spans="1:8" x14ac:dyDescent="0.25">
      <c r="A68" t="s">
        <v>22</v>
      </c>
      <c r="B68">
        <v>0</v>
      </c>
      <c r="C68" s="1" t="s">
        <v>185</v>
      </c>
      <c r="D68">
        <v>4</v>
      </c>
      <c r="E68" t="s">
        <v>140</v>
      </c>
      <c r="F68" t="s">
        <v>142</v>
      </c>
      <c r="G68" t="s">
        <v>199</v>
      </c>
      <c r="H68" t="s">
        <v>153</v>
      </c>
    </row>
    <row r="69" spans="1:8" x14ac:dyDescent="0.25">
      <c r="A69" t="s">
        <v>66</v>
      </c>
      <c r="B69">
        <v>6</v>
      </c>
      <c r="C69" t="s">
        <v>190</v>
      </c>
      <c r="D69">
        <v>4</v>
      </c>
      <c r="E69" t="s">
        <v>140</v>
      </c>
      <c r="F69" t="s">
        <v>143</v>
      </c>
      <c r="G69" t="s">
        <v>199</v>
      </c>
      <c r="H69" t="s">
        <v>153</v>
      </c>
    </row>
    <row r="70" spans="1:8" x14ac:dyDescent="0.25">
      <c r="A70" t="s">
        <v>110</v>
      </c>
      <c r="B70">
        <v>7</v>
      </c>
      <c r="C70" t="s">
        <v>195</v>
      </c>
      <c r="D70">
        <v>4</v>
      </c>
      <c r="E70" t="s">
        <v>140</v>
      </c>
      <c r="F70" t="s">
        <v>144</v>
      </c>
      <c r="G70" t="s">
        <v>199</v>
      </c>
      <c r="H70" t="s">
        <v>153</v>
      </c>
    </row>
    <row r="71" spans="1:8" x14ac:dyDescent="0.25">
      <c r="A71" t="s">
        <v>23</v>
      </c>
      <c r="B71">
        <v>0</v>
      </c>
      <c r="C71" s="1" t="s">
        <v>185</v>
      </c>
      <c r="D71">
        <v>4</v>
      </c>
      <c r="E71" t="s">
        <v>141</v>
      </c>
      <c r="F71" t="s">
        <v>142</v>
      </c>
      <c r="G71" t="s">
        <v>199</v>
      </c>
      <c r="H71" t="s">
        <v>153</v>
      </c>
    </row>
    <row r="72" spans="1:8" x14ac:dyDescent="0.25">
      <c r="A72" t="s">
        <v>67</v>
      </c>
      <c r="B72">
        <v>6</v>
      </c>
      <c r="C72" t="s">
        <v>190</v>
      </c>
      <c r="D72">
        <v>4</v>
      </c>
      <c r="E72" t="s">
        <v>141</v>
      </c>
      <c r="F72" t="s">
        <v>143</v>
      </c>
      <c r="G72" t="s">
        <v>199</v>
      </c>
      <c r="H72" t="s">
        <v>153</v>
      </c>
    </row>
    <row r="73" spans="1:8" x14ac:dyDescent="0.25">
      <c r="A73" t="s">
        <v>111</v>
      </c>
      <c r="B73">
        <v>7</v>
      </c>
      <c r="C73" t="s">
        <v>195</v>
      </c>
      <c r="D73">
        <v>4</v>
      </c>
      <c r="E73" t="s">
        <v>141</v>
      </c>
      <c r="F73" t="s">
        <v>144</v>
      </c>
      <c r="G73" t="s">
        <v>199</v>
      </c>
      <c r="H73" t="s">
        <v>153</v>
      </c>
    </row>
    <row r="74" spans="1:8" x14ac:dyDescent="0.25">
      <c r="A74" t="s">
        <v>28</v>
      </c>
      <c r="B74">
        <v>0</v>
      </c>
      <c r="C74" t="s">
        <v>188</v>
      </c>
      <c r="D74">
        <v>54</v>
      </c>
      <c r="E74" t="s">
        <v>140</v>
      </c>
      <c r="F74" t="s">
        <v>142</v>
      </c>
      <c r="G74" t="s">
        <v>206</v>
      </c>
      <c r="H74" t="s">
        <v>152</v>
      </c>
    </row>
    <row r="75" spans="1:8" x14ac:dyDescent="0.25">
      <c r="A75" t="s">
        <v>72</v>
      </c>
      <c r="B75">
        <v>9</v>
      </c>
      <c r="C75" t="s">
        <v>170</v>
      </c>
      <c r="D75">
        <v>54</v>
      </c>
      <c r="E75" t="s">
        <v>140</v>
      </c>
      <c r="F75" t="s">
        <v>143</v>
      </c>
      <c r="G75" t="s">
        <v>206</v>
      </c>
      <c r="H75" t="s">
        <v>152</v>
      </c>
    </row>
    <row r="76" spans="1:8" x14ac:dyDescent="0.25">
      <c r="A76" t="s">
        <v>116</v>
      </c>
      <c r="B76">
        <v>0</v>
      </c>
      <c r="C76" t="s">
        <v>163</v>
      </c>
      <c r="D76">
        <v>54</v>
      </c>
      <c r="E76" t="s">
        <v>140</v>
      </c>
      <c r="F76" t="s">
        <v>144</v>
      </c>
      <c r="G76" t="s">
        <v>206</v>
      </c>
      <c r="H76" t="s">
        <v>152</v>
      </c>
    </row>
    <row r="77" spans="1:8" x14ac:dyDescent="0.25">
      <c r="A77" t="s">
        <v>29</v>
      </c>
      <c r="B77">
        <v>0</v>
      </c>
      <c r="C77" t="s">
        <v>188</v>
      </c>
      <c r="D77">
        <v>54</v>
      </c>
      <c r="E77" t="s">
        <v>141</v>
      </c>
      <c r="F77" t="s">
        <v>142</v>
      </c>
      <c r="G77" t="s">
        <v>206</v>
      </c>
      <c r="H77" t="s">
        <v>152</v>
      </c>
    </row>
    <row r="78" spans="1:8" x14ac:dyDescent="0.25">
      <c r="A78" t="s">
        <v>73</v>
      </c>
      <c r="B78">
        <v>9</v>
      </c>
      <c r="C78" t="s">
        <v>170</v>
      </c>
      <c r="D78">
        <v>54</v>
      </c>
      <c r="E78" t="s">
        <v>141</v>
      </c>
      <c r="F78" t="s">
        <v>143</v>
      </c>
      <c r="G78" t="s">
        <v>206</v>
      </c>
      <c r="H78" t="s">
        <v>152</v>
      </c>
    </row>
    <row r="79" spans="1:8" x14ac:dyDescent="0.25">
      <c r="A79" t="s">
        <v>117</v>
      </c>
      <c r="B79">
        <v>0</v>
      </c>
      <c r="C79" t="s">
        <v>163</v>
      </c>
      <c r="D79">
        <v>54</v>
      </c>
      <c r="E79" t="s">
        <v>141</v>
      </c>
      <c r="F79" t="s">
        <v>144</v>
      </c>
      <c r="G79" t="s">
        <v>206</v>
      </c>
      <c r="H79" t="s">
        <v>152</v>
      </c>
    </row>
    <row r="80" spans="1:8" x14ac:dyDescent="0.25">
      <c r="A80" t="s">
        <v>30</v>
      </c>
      <c r="B80">
        <v>8</v>
      </c>
      <c r="C80" t="s">
        <v>161</v>
      </c>
      <c r="D80">
        <v>57</v>
      </c>
      <c r="E80" t="s">
        <v>140</v>
      </c>
      <c r="F80" t="s">
        <v>142</v>
      </c>
      <c r="G80" t="s">
        <v>207</v>
      </c>
      <c r="H80" t="s">
        <v>151</v>
      </c>
    </row>
    <row r="81" spans="1:8" x14ac:dyDescent="0.25">
      <c r="A81" t="s">
        <v>74</v>
      </c>
      <c r="B81">
        <v>10</v>
      </c>
      <c r="C81" t="s">
        <v>194</v>
      </c>
      <c r="D81">
        <v>57</v>
      </c>
      <c r="E81" t="s">
        <v>140</v>
      </c>
      <c r="F81" t="s">
        <v>143</v>
      </c>
      <c r="G81" t="s">
        <v>207</v>
      </c>
      <c r="H81" t="s">
        <v>151</v>
      </c>
    </row>
    <row r="82" spans="1:8" x14ac:dyDescent="0.25">
      <c r="A82" t="s">
        <v>118</v>
      </c>
      <c r="B82">
        <v>21</v>
      </c>
      <c r="C82" t="s">
        <v>180</v>
      </c>
      <c r="D82">
        <v>57</v>
      </c>
      <c r="E82" t="s">
        <v>140</v>
      </c>
      <c r="F82" t="s">
        <v>144</v>
      </c>
      <c r="G82" t="s">
        <v>207</v>
      </c>
      <c r="H82" t="s">
        <v>151</v>
      </c>
    </row>
    <row r="83" spans="1:8" x14ac:dyDescent="0.25">
      <c r="A83" t="s">
        <v>31</v>
      </c>
      <c r="B83">
        <v>8</v>
      </c>
      <c r="C83" t="s">
        <v>161</v>
      </c>
      <c r="D83">
        <v>57</v>
      </c>
      <c r="E83" t="s">
        <v>141</v>
      </c>
      <c r="F83" t="s">
        <v>142</v>
      </c>
      <c r="G83" t="s">
        <v>207</v>
      </c>
      <c r="H83" t="s">
        <v>151</v>
      </c>
    </row>
    <row r="84" spans="1:8" x14ac:dyDescent="0.25">
      <c r="A84" t="s">
        <v>75</v>
      </c>
      <c r="B84">
        <v>10</v>
      </c>
      <c r="C84" t="s">
        <v>194</v>
      </c>
      <c r="D84">
        <v>57</v>
      </c>
      <c r="E84" t="s">
        <v>141</v>
      </c>
      <c r="F84" t="s">
        <v>143</v>
      </c>
      <c r="G84" t="s">
        <v>207</v>
      </c>
      <c r="H84" t="s">
        <v>151</v>
      </c>
    </row>
    <row r="85" spans="1:8" x14ac:dyDescent="0.25">
      <c r="A85" t="s">
        <v>119</v>
      </c>
      <c r="B85">
        <v>21</v>
      </c>
      <c r="C85" t="s">
        <v>180</v>
      </c>
      <c r="D85">
        <v>57</v>
      </c>
      <c r="E85" t="s">
        <v>141</v>
      </c>
      <c r="F85" t="s">
        <v>144</v>
      </c>
      <c r="G85" t="s">
        <v>207</v>
      </c>
      <c r="H85" t="s">
        <v>151</v>
      </c>
    </row>
    <row r="86" spans="1:8" x14ac:dyDescent="0.25">
      <c r="A86" t="s">
        <v>26</v>
      </c>
      <c r="B86" t="s">
        <v>2</v>
      </c>
      <c r="C86" t="s">
        <v>3</v>
      </c>
      <c r="D86">
        <v>5</v>
      </c>
      <c r="E86" t="s">
        <v>140</v>
      </c>
      <c r="F86" t="s">
        <v>142</v>
      </c>
      <c r="G86" t="s">
        <v>199</v>
      </c>
      <c r="H86" t="s">
        <v>153</v>
      </c>
    </row>
    <row r="87" spans="1:8" x14ac:dyDescent="0.25">
      <c r="A87" t="s">
        <v>70</v>
      </c>
      <c r="B87" t="s">
        <v>2</v>
      </c>
      <c r="C87" t="s">
        <v>3</v>
      </c>
      <c r="D87">
        <v>5</v>
      </c>
      <c r="E87" t="s">
        <v>140</v>
      </c>
      <c r="F87" t="s">
        <v>143</v>
      </c>
      <c r="G87" t="s">
        <v>199</v>
      </c>
      <c r="H87" t="s">
        <v>153</v>
      </c>
    </row>
    <row r="88" spans="1:8" x14ac:dyDescent="0.25">
      <c r="A88" t="s">
        <v>114</v>
      </c>
      <c r="B88" t="s">
        <v>3</v>
      </c>
      <c r="C88" t="s">
        <v>2</v>
      </c>
      <c r="D88">
        <v>5</v>
      </c>
      <c r="E88" t="s">
        <v>140</v>
      </c>
      <c r="F88" t="s">
        <v>144</v>
      </c>
      <c r="G88" t="s">
        <v>199</v>
      </c>
      <c r="H88" t="s">
        <v>153</v>
      </c>
    </row>
    <row r="89" spans="1:8" x14ac:dyDescent="0.25">
      <c r="A89" t="s">
        <v>27</v>
      </c>
      <c r="B89" t="s">
        <v>2</v>
      </c>
      <c r="C89" t="s">
        <v>3</v>
      </c>
      <c r="D89">
        <v>5</v>
      </c>
      <c r="E89" t="s">
        <v>141</v>
      </c>
      <c r="F89" t="s">
        <v>142</v>
      </c>
      <c r="G89" t="s">
        <v>199</v>
      </c>
      <c r="H89" t="s">
        <v>153</v>
      </c>
    </row>
    <row r="90" spans="1:8" x14ac:dyDescent="0.25">
      <c r="A90" t="s">
        <v>71</v>
      </c>
      <c r="B90" t="s">
        <v>2</v>
      </c>
      <c r="C90" t="s">
        <v>3</v>
      </c>
      <c r="D90">
        <v>5</v>
      </c>
      <c r="E90" t="s">
        <v>141</v>
      </c>
      <c r="F90" t="s">
        <v>143</v>
      </c>
      <c r="G90" t="s">
        <v>199</v>
      </c>
      <c r="H90" t="s">
        <v>153</v>
      </c>
    </row>
    <row r="91" spans="1:8" x14ac:dyDescent="0.25">
      <c r="A91" t="s">
        <v>115</v>
      </c>
      <c r="B91" t="s">
        <v>3</v>
      </c>
      <c r="C91" t="s">
        <v>2</v>
      </c>
      <c r="D91">
        <v>5</v>
      </c>
      <c r="E91" t="s">
        <v>141</v>
      </c>
      <c r="F91" t="s">
        <v>144</v>
      </c>
      <c r="G91" t="s">
        <v>199</v>
      </c>
      <c r="H91" t="s">
        <v>153</v>
      </c>
    </row>
    <row r="92" spans="1:8" x14ac:dyDescent="0.25">
      <c r="A92" t="s">
        <v>34</v>
      </c>
      <c r="B92">
        <v>32</v>
      </c>
      <c r="C92" t="s">
        <v>414</v>
      </c>
      <c r="D92">
        <v>60</v>
      </c>
      <c r="E92" t="s">
        <v>140</v>
      </c>
      <c r="F92" t="s">
        <v>142</v>
      </c>
      <c r="G92" t="s">
        <v>208</v>
      </c>
      <c r="H92" t="s">
        <v>152</v>
      </c>
    </row>
    <row r="93" spans="1:8" x14ac:dyDescent="0.25">
      <c r="A93" t="s">
        <v>78</v>
      </c>
      <c r="B93">
        <v>0</v>
      </c>
      <c r="C93" t="s">
        <v>171</v>
      </c>
      <c r="D93">
        <v>60</v>
      </c>
      <c r="E93" t="s">
        <v>140</v>
      </c>
      <c r="F93" t="s">
        <v>143</v>
      </c>
      <c r="G93" t="s">
        <v>208</v>
      </c>
      <c r="H93" t="s">
        <v>152</v>
      </c>
    </row>
    <row r="94" spans="1:8" x14ac:dyDescent="0.25">
      <c r="A94" t="s">
        <v>122</v>
      </c>
      <c r="B94">
        <v>40</v>
      </c>
      <c r="C94" t="s">
        <v>181</v>
      </c>
      <c r="D94">
        <v>60</v>
      </c>
      <c r="E94" t="s">
        <v>140</v>
      </c>
      <c r="F94" t="s">
        <v>144</v>
      </c>
      <c r="G94" t="s">
        <v>208</v>
      </c>
      <c r="H94" t="s">
        <v>152</v>
      </c>
    </row>
    <row r="95" spans="1:8" x14ac:dyDescent="0.25">
      <c r="A95" t="s">
        <v>35</v>
      </c>
      <c r="B95">
        <v>32</v>
      </c>
      <c r="C95" t="s">
        <v>414</v>
      </c>
      <c r="D95">
        <v>60</v>
      </c>
      <c r="E95" t="s">
        <v>141</v>
      </c>
      <c r="F95" t="s">
        <v>142</v>
      </c>
      <c r="G95" t="s">
        <v>208</v>
      </c>
      <c r="H95" t="s">
        <v>152</v>
      </c>
    </row>
    <row r="96" spans="1:8" x14ac:dyDescent="0.25">
      <c r="A96" t="s">
        <v>79</v>
      </c>
      <c r="B96">
        <v>0</v>
      </c>
      <c r="C96" t="s">
        <v>171</v>
      </c>
      <c r="D96">
        <v>60</v>
      </c>
      <c r="E96" t="s">
        <v>141</v>
      </c>
      <c r="F96" t="s">
        <v>143</v>
      </c>
      <c r="G96" t="s">
        <v>208</v>
      </c>
      <c r="H96" t="s">
        <v>152</v>
      </c>
    </row>
    <row r="97" spans="1:8" x14ac:dyDescent="0.25">
      <c r="A97" t="s">
        <v>123</v>
      </c>
      <c r="B97">
        <v>40</v>
      </c>
      <c r="C97" t="s">
        <v>181</v>
      </c>
      <c r="D97">
        <v>60</v>
      </c>
      <c r="E97" t="s">
        <v>141</v>
      </c>
      <c r="F97" t="s">
        <v>144</v>
      </c>
      <c r="G97" t="s">
        <v>208</v>
      </c>
      <c r="H97" t="s">
        <v>152</v>
      </c>
    </row>
    <row r="98" spans="1:8" x14ac:dyDescent="0.25">
      <c r="A98" t="s">
        <v>36</v>
      </c>
      <c r="B98">
        <v>4</v>
      </c>
      <c r="C98" t="s">
        <v>189</v>
      </c>
      <c r="D98">
        <v>61</v>
      </c>
      <c r="E98" t="s">
        <v>140</v>
      </c>
      <c r="F98" t="s">
        <v>142</v>
      </c>
      <c r="G98" t="s">
        <v>209</v>
      </c>
      <c r="H98" t="s">
        <v>151</v>
      </c>
    </row>
    <row r="99" spans="1:8" x14ac:dyDescent="0.25">
      <c r="A99" t="s">
        <v>80</v>
      </c>
      <c r="B99">
        <v>256</v>
      </c>
      <c r="C99" t="s">
        <v>172</v>
      </c>
      <c r="D99">
        <v>61</v>
      </c>
      <c r="E99" t="s">
        <v>140</v>
      </c>
      <c r="F99" t="s">
        <v>143</v>
      </c>
      <c r="G99" t="s">
        <v>209</v>
      </c>
      <c r="H99" t="s">
        <v>151</v>
      </c>
    </row>
    <row r="100" spans="1:8" x14ac:dyDescent="0.25">
      <c r="A100" t="s">
        <v>124</v>
      </c>
      <c r="B100">
        <v>66</v>
      </c>
      <c r="C100" t="s">
        <v>182</v>
      </c>
      <c r="D100">
        <v>61</v>
      </c>
      <c r="E100" t="s">
        <v>140</v>
      </c>
      <c r="F100" t="s">
        <v>144</v>
      </c>
      <c r="G100" t="s">
        <v>209</v>
      </c>
      <c r="H100" t="s">
        <v>151</v>
      </c>
    </row>
    <row r="101" spans="1:8" x14ac:dyDescent="0.25">
      <c r="A101" t="s">
        <v>37</v>
      </c>
      <c r="B101">
        <v>4</v>
      </c>
      <c r="C101" t="s">
        <v>189</v>
      </c>
      <c r="D101">
        <v>61</v>
      </c>
      <c r="E101" t="s">
        <v>141</v>
      </c>
      <c r="F101" t="s">
        <v>142</v>
      </c>
      <c r="G101" t="s">
        <v>209</v>
      </c>
      <c r="H101" t="s">
        <v>151</v>
      </c>
    </row>
    <row r="102" spans="1:8" x14ac:dyDescent="0.25">
      <c r="A102" t="s">
        <v>81</v>
      </c>
      <c r="B102">
        <v>256</v>
      </c>
      <c r="C102" t="s">
        <v>172</v>
      </c>
      <c r="D102">
        <v>61</v>
      </c>
      <c r="E102" t="s">
        <v>141</v>
      </c>
      <c r="F102" t="s">
        <v>143</v>
      </c>
      <c r="G102" t="s">
        <v>209</v>
      </c>
      <c r="H102" t="s">
        <v>151</v>
      </c>
    </row>
    <row r="103" spans="1:8" x14ac:dyDescent="0.25">
      <c r="A103" t="s">
        <v>125</v>
      </c>
      <c r="B103">
        <v>66</v>
      </c>
      <c r="C103" t="s">
        <v>182</v>
      </c>
      <c r="D103">
        <v>61</v>
      </c>
      <c r="E103" t="s">
        <v>141</v>
      </c>
      <c r="F103" t="s">
        <v>144</v>
      </c>
      <c r="G103" t="s">
        <v>209</v>
      </c>
      <c r="H103" t="s">
        <v>151</v>
      </c>
    </row>
    <row r="104" spans="1:8" x14ac:dyDescent="0.25">
      <c r="A104" t="s">
        <v>38</v>
      </c>
      <c r="B104">
        <v>3</v>
      </c>
      <c r="C104" t="s">
        <v>196</v>
      </c>
      <c r="D104">
        <v>62</v>
      </c>
      <c r="E104" t="s">
        <v>140</v>
      </c>
      <c r="F104" t="s">
        <v>142</v>
      </c>
      <c r="G104" t="s">
        <v>209</v>
      </c>
      <c r="H104" t="s">
        <v>151</v>
      </c>
    </row>
    <row r="105" spans="1:8" x14ac:dyDescent="0.25">
      <c r="A105" t="s">
        <v>82</v>
      </c>
      <c r="B105">
        <v>60</v>
      </c>
      <c r="C105" t="s">
        <v>173</v>
      </c>
      <c r="D105">
        <v>62</v>
      </c>
      <c r="E105" t="s">
        <v>140</v>
      </c>
      <c r="F105" t="s">
        <v>143</v>
      </c>
      <c r="G105" t="s">
        <v>209</v>
      </c>
      <c r="H105" t="s">
        <v>151</v>
      </c>
    </row>
    <row r="106" spans="1:8" x14ac:dyDescent="0.25">
      <c r="A106" t="s">
        <v>126</v>
      </c>
      <c r="B106">
        <v>50</v>
      </c>
      <c r="C106" t="s">
        <v>183</v>
      </c>
      <c r="D106">
        <v>62</v>
      </c>
      <c r="E106" t="s">
        <v>140</v>
      </c>
      <c r="F106" t="s">
        <v>144</v>
      </c>
      <c r="G106" t="s">
        <v>209</v>
      </c>
      <c r="H106" t="s">
        <v>151</v>
      </c>
    </row>
    <row r="107" spans="1:8" x14ac:dyDescent="0.25">
      <c r="A107" t="s">
        <v>39</v>
      </c>
      <c r="B107">
        <v>3</v>
      </c>
      <c r="C107" t="s">
        <v>196</v>
      </c>
      <c r="D107">
        <v>62</v>
      </c>
      <c r="E107" t="s">
        <v>141</v>
      </c>
      <c r="F107" t="s">
        <v>142</v>
      </c>
      <c r="G107" t="s">
        <v>209</v>
      </c>
      <c r="H107" t="s">
        <v>151</v>
      </c>
    </row>
    <row r="108" spans="1:8" x14ac:dyDescent="0.25">
      <c r="A108" t="s">
        <v>83</v>
      </c>
      <c r="B108">
        <v>60</v>
      </c>
      <c r="C108" t="s">
        <v>173</v>
      </c>
      <c r="D108">
        <v>62</v>
      </c>
      <c r="E108" t="s">
        <v>141</v>
      </c>
      <c r="F108" t="s">
        <v>143</v>
      </c>
      <c r="G108" t="s">
        <v>209</v>
      </c>
      <c r="H108" t="s">
        <v>151</v>
      </c>
    </row>
    <row r="109" spans="1:8" x14ac:dyDescent="0.25">
      <c r="A109" t="s">
        <v>127</v>
      </c>
      <c r="B109">
        <v>50</v>
      </c>
      <c r="C109" t="s">
        <v>183</v>
      </c>
      <c r="D109">
        <v>62</v>
      </c>
      <c r="E109" t="s">
        <v>141</v>
      </c>
      <c r="F109" t="s">
        <v>144</v>
      </c>
      <c r="G109" t="s">
        <v>209</v>
      </c>
      <c r="H109" t="s">
        <v>151</v>
      </c>
    </row>
    <row r="110" spans="1:8" x14ac:dyDescent="0.25">
      <c r="A110" t="s">
        <v>40</v>
      </c>
      <c r="B110">
        <v>9</v>
      </c>
      <c r="C110" t="s">
        <v>165</v>
      </c>
      <c r="D110">
        <v>63</v>
      </c>
      <c r="E110" t="s">
        <v>140</v>
      </c>
      <c r="F110" t="s">
        <v>142</v>
      </c>
      <c r="G110" t="s">
        <v>209</v>
      </c>
      <c r="H110" t="s">
        <v>151</v>
      </c>
    </row>
    <row r="111" spans="1:8" x14ac:dyDescent="0.25">
      <c r="A111" t="s">
        <v>84</v>
      </c>
      <c r="B111">
        <v>5</v>
      </c>
      <c r="C111" t="s">
        <v>167</v>
      </c>
      <c r="D111">
        <v>63</v>
      </c>
      <c r="E111" t="s">
        <v>140</v>
      </c>
      <c r="F111" t="s">
        <v>143</v>
      </c>
      <c r="G111" t="s">
        <v>209</v>
      </c>
      <c r="H111" t="s">
        <v>151</v>
      </c>
    </row>
    <row r="112" spans="1:8" x14ac:dyDescent="0.25">
      <c r="A112" t="s">
        <v>128</v>
      </c>
      <c r="B112">
        <v>80</v>
      </c>
      <c r="C112" t="s">
        <v>184</v>
      </c>
      <c r="D112">
        <v>63</v>
      </c>
      <c r="E112" t="s">
        <v>140</v>
      </c>
      <c r="F112" t="s">
        <v>144</v>
      </c>
      <c r="G112" t="s">
        <v>209</v>
      </c>
      <c r="H112" t="s">
        <v>151</v>
      </c>
    </row>
    <row r="113" spans="1:8" x14ac:dyDescent="0.25">
      <c r="A113" t="s">
        <v>41</v>
      </c>
      <c r="B113">
        <v>9</v>
      </c>
      <c r="C113" t="s">
        <v>165</v>
      </c>
      <c r="D113">
        <v>63</v>
      </c>
      <c r="E113" t="s">
        <v>141</v>
      </c>
      <c r="F113" t="s">
        <v>142</v>
      </c>
      <c r="G113" t="s">
        <v>209</v>
      </c>
      <c r="H113" t="s">
        <v>151</v>
      </c>
    </row>
    <row r="114" spans="1:8" x14ac:dyDescent="0.25">
      <c r="A114" t="s">
        <v>85</v>
      </c>
      <c r="B114">
        <v>5</v>
      </c>
      <c r="C114" t="s">
        <v>167</v>
      </c>
      <c r="D114">
        <v>63</v>
      </c>
      <c r="E114" t="s">
        <v>141</v>
      </c>
      <c r="F114" t="s">
        <v>143</v>
      </c>
      <c r="G114" t="s">
        <v>209</v>
      </c>
      <c r="H114" t="s">
        <v>151</v>
      </c>
    </row>
    <row r="115" spans="1:8" x14ac:dyDescent="0.25">
      <c r="A115" t="s">
        <v>129</v>
      </c>
      <c r="B115">
        <v>80</v>
      </c>
      <c r="C115" t="s">
        <v>184</v>
      </c>
      <c r="D115">
        <v>63</v>
      </c>
      <c r="E115" t="s">
        <v>141</v>
      </c>
      <c r="F115" t="s">
        <v>144</v>
      </c>
      <c r="G115" t="s">
        <v>209</v>
      </c>
      <c r="H115" t="s">
        <v>151</v>
      </c>
    </row>
    <row r="116" spans="1:8" x14ac:dyDescent="0.25">
      <c r="A116" t="s">
        <v>32</v>
      </c>
      <c r="B116" t="s">
        <v>2</v>
      </c>
      <c r="C116" t="s">
        <v>3</v>
      </c>
      <c r="D116">
        <v>6</v>
      </c>
      <c r="E116" t="s">
        <v>140</v>
      </c>
      <c r="F116" t="s">
        <v>142</v>
      </c>
      <c r="G116" t="s">
        <v>199</v>
      </c>
      <c r="H116" t="s">
        <v>153</v>
      </c>
    </row>
    <row r="117" spans="1:8" x14ac:dyDescent="0.25">
      <c r="A117" t="s">
        <v>76</v>
      </c>
      <c r="B117" t="s">
        <v>2</v>
      </c>
      <c r="C117" t="s">
        <v>3</v>
      </c>
      <c r="D117">
        <v>6</v>
      </c>
      <c r="E117" t="s">
        <v>140</v>
      </c>
      <c r="F117" t="s">
        <v>143</v>
      </c>
      <c r="G117" t="s">
        <v>199</v>
      </c>
      <c r="H117" t="s">
        <v>153</v>
      </c>
    </row>
    <row r="118" spans="1:8" x14ac:dyDescent="0.25">
      <c r="A118" t="s">
        <v>120</v>
      </c>
      <c r="B118" t="s">
        <v>2</v>
      </c>
      <c r="C118" t="s">
        <v>3</v>
      </c>
      <c r="D118">
        <v>6</v>
      </c>
      <c r="E118" t="s">
        <v>140</v>
      </c>
      <c r="F118" t="s">
        <v>144</v>
      </c>
      <c r="G118" t="s">
        <v>199</v>
      </c>
      <c r="H118" t="s">
        <v>153</v>
      </c>
    </row>
    <row r="119" spans="1:8" x14ac:dyDescent="0.25">
      <c r="A119" t="s">
        <v>33</v>
      </c>
      <c r="B119" t="s">
        <v>2</v>
      </c>
      <c r="C119" t="s">
        <v>3</v>
      </c>
      <c r="D119">
        <v>6</v>
      </c>
      <c r="E119" t="s">
        <v>141</v>
      </c>
      <c r="F119" t="s">
        <v>142</v>
      </c>
      <c r="G119" t="s">
        <v>199</v>
      </c>
      <c r="H119" t="s">
        <v>153</v>
      </c>
    </row>
    <row r="120" spans="1:8" x14ac:dyDescent="0.25">
      <c r="A120" t="s">
        <v>77</v>
      </c>
      <c r="B120" t="s">
        <v>2</v>
      </c>
      <c r="C120" t="s">
        <v>3</v>
      </c>
      <c r="D120">
        <v>6</v>
      </c>
      <c r="E120" t="s">
        <v>141</v>
      </c>
      <c r="F120" t="s">
        <v>143</v>
      </c>
      <c r="G120" t="s">
        <v>199</v>
      </c>
      <c r="H120" t="s">
        <v>153</v>
      </c>
    </row>
    <row r="121" spans="1:8" x14ac:dyDescent="0.25">
      <c r="A121" t="s">
        <v>121</v>
      </c>
      <c r="B121" t="s">
        <v>2</v>
      </c>
      <c r="C121" t="s">
        <v>3</v>
      </c>
      <c r="D121">
        <v>6</v>
      </c>
      <c r="E121" t="s">
        <v>141</v>
      </c>
      <c r="F121" t="s">
        <v>144</v>
      </c>
      <c r="G121" t="s">
        <v>199</v>
      </c>
      <c r="H121" t="s">
        <v>153</v>
      </c>
    </row>
    <row r="122" spans="1:8" x14ac:dyDescent="0.25">
      <c r="A122" t="s">
        <v>42</v>
      </c>
      <c r="B122">
        <v>5</v>
      </c>
      <c r="C122" t="s">
        <v>415</v>
      </c>
      <c r="D122">
        <v>7</v>
      </c>
      <c r="E122" t="s">
        <v>140</v>
      </c>
      <c r="F122" t="s">
        <v>142</v>
      </c>
      <c r="G122" t="s">
        <v>200</v>
      </c>
      <c r="H122" t="s">
        <v>149</v>
      </c>
    </row>
    <row r="123" spans="1:8" x14ac:dyDescent="0.25">
      <c r="A123" t="s">
        <v>86</v>
      </c>
      <c r="B123">
        <v>7</v>
      </c>
      <c r="C123" t="s">
        <v>416</v>
      </c>
      <c r="D123">
        <v>7</v>
      </c>
      <c r="E123" t="s">
        <v>140</v>
      </c>
      <c r="F123" t="s">
        <v>143</v>
      </c>
      <c r="G123" t="s">
        <v>200</v>
      </c>
      <c r="H123" t="s">
        <v>149</v>
      </c>
    </row>
    <row r="124" spans="1:8" x14ac:dyDescent="0.25">
      <c r="A124" t="s">
        <v>130</v>
      </c>
      <c r="B124">
        <v>8</v>
      </c>
      <c r="C124" t="s">
        <v>417</v>
      </c>
      <c r="D124">
        <v>7</v>
      </c>
      <c r="E124" t="s">
        <v>140</v>
      </c>
      <c r="F124" t="s">
        <v>144</v>
      </c>
      <c r="G124" t="s">
        <v>200</v>
      </c>
      <c r="H124" t="s">
        <v>149</v>
      </c>
    </row>
    <row r="125" spans="1:8" x14ac:dyDescent="0.25">
      <c r="A125" t="s">
        <v>43</v>
      </c>
      <c r="B125">
        <v>5</v>
      </c>
      <c r="C125" t="s">
        <v>415</v>
      </c>
      <c r="D125">
        <v>7</v>
      </c>
      <c r="E125" t="s">
        <v>141</v>
      </c>
      <c r="F125" t="s">
        <v>142</v>
      </c>
      <c r="G125" t="s">
        <v>200</v>
      </c>
      <c r="H125" t="s">
        <v>149</v>
      </c>
    </row>
    <row r="126" spans="1:8" x14ac:dyDescent="0.25">
      <c r="A126" t="s">
        <v>87</v>
      </c>
      <c r="B126">
        <v>7</v>
      </c>
      <c r="C126" t="s">
        <v>416</v>
      </c>
      <c r="D126">
        <v>7</v>
      </c>
      <c r="E126" t="s">
        <v>141</v>
      </c>
      <c r="F126" t="s">
        <v>143</v>
      </c>
      <c r="G126" t="s">
        <v>200</v>
      </c>
      <c r="H126" t="s">
        <v>149</v>
      </c>
    </row>
    <row r="127" spans="1:8" x14ac:dyDescent="0.25">
      <c r="A127" t="s">
        <v>131</v>
      </c>
      <c r="B127">
        <v>8</v>
      </c>
      <c r="C127" t="s">
        <v>417</v>
      </c>
      <c r="D127">
        <v>7</v>
      </c>
      <c r="E127" t="s">
        <v>141</v>
      </c>
      <c r="F127" t="s">
        <v>144</v>
      </c>
      <c r="G127" t="s">
        <v>200</v>
      </c>
      <c r="H127" t="s">
        <v>149</v>
      </c>
    </row>
    <row r="128" spans="1:8" x14ac:dyDescent="0.25">
      <c r="A128" t="s">
        <v>44</v>
      </c>
      <c r="B128" t="s">
        <v>2</v>
      </c>
      <c r="C128" t="s">
        <v>3</v>
      </c>
      <c r="D128">
        <v>8</v>
      </c>
      <c r="E128" t="s">
        <v>140</v>
      </c>
      <c r="F128" t="s">
        <v>142</v>
      </c>
      <c r="G128" t="s">
        <v>200</v>
      </c>
      <c r="H128" t="s">
        <v>149</v>
      </c>
    </row>
    <row r="129" spans="1:8" x14ac:dyDescent="0.25">
      <c r="A129" t="s">
        <v>88</v>
      </c>
      <c r="B129" t="s">
        <v>3</v>
      </c>
      <c r="C129" t="s">
        <v>2</v>
      </c>
      <c r="D129">
        <v>8</v>
      </c>
      <c r="E129" t="s">
        <v>140</v>
      </c>
      <c r="F129" t="s">
        <v>143</v>
      </c>
      <c r="G129" t="s">
        <v>200</v>
      </c>
      <c r="H129" t="s">
        <v>149</v>
      </c>
    </row>
    <row r="130" spans="1:8" x14ac:dyDescent="0.25">
      <c r="A130" t="s">
        <v>132</v>
      </c>
      <c r="B130" t="s">
        <v>3</v>
      </c>
      <c r="C130" t="s">
        <v>2</v>
      </c>
      <c r="D130">
        <v>8</v>
      </c>
      <c r="E130" t="s">
        <v>140</v>
      </c>
      <c r="F130" t="s">
        <v>144</v>
      </c>
      <c r="G130" t="s">
        <v>200</v>
      </c>
      <c r="H130" t="s">
        <v>149</v>
      </c>
    </row>
    <row r="131" spans="1:8" x14ac:dyDescent="0.25">
      <c r="A131" t="s">
        <v>45</v>
      </c>
      <c r="B131" t="s">
        <v>2</v>
      </c>
      <c r="C131" t="s">
        <v>3</v>
      </c>
      <c r="D131">
        <v>8</v>
      </c>
      <c r="E131" t="s">
        <v>141</v>
      </c>
      <c r="F131" t="s">
        <v>142</v>
      </c>
      <c r="G131" t="s">
        <v>200</v>
      </c>
      <c r="H131" t="s">
        <v>149</v>
      </c>
    </row>
    <row r="132" spans="1:8" x14ac:dyDescent="0.25">
      <c r="A132" t="s">
        <v>89</v>
      </c>
      <c r="B132" t="s">
        <v>3</v>
      </c>
      <c r="C132" t="s">
        <v>2</v>
      </c>
      <c r="D132">
        <v>8</v>
      </c>
      <c r="E132" t="s">
        <v>141</v>
      </c>
      <c r="F132" t="s">
        <v>143</v>
      </c>
      <c r="G132" t="s">
        <v>200</v>
      </c>
      <c r="H132" t="s">
        <v>149</v>
      </c>
    </row>
    <row r="133" spans="1:8" x14ac:dyDescent="0.25">
      <c r="A133" t="s">
        <v>133</v>
      </c>
      <c r="B133" t="s">
        <v>3</v>
      </c>
      <c r="C133" t="s">
        <v>2</v>
      </c>
      <c r="D133">
        <v>8</v>
      </c>
      <c r="E133" t="s">
        <v>141</v>
      </c>
      <c r="F133" t="s">
        <v>144</v>
      </c>
      <c r="G133" t="s">
        <v>200</v>
      </c>
      <c r="H133" t="s">
        <v>149</v>
      </c>
    </row>
    <row r="134" spans="1:8" x14ac:dyDescent="0.25">
      <c r="A134" t="s">
        <v>46</v>
      </c>
      <c r="B134" t="s">
        <v>3</v>
      </c>
      <c r="C134" t="s">
        <v>2</v>
      </c>
      <c r="D134">
        <v>9</v>
      </c>
      <c r="E134" t="s">
        <v>140</v>
      </c>
      <c r="F134" t="s">
        <v>142</v>
      </c>
      <c r="G134" t="s">
        <v>200</v>
      </c>
      <c r="H134" t="s">
        <v>149</v>
      </c>
    </row>
    <row r="135" spans="1:8" x14ac:dyDescent="0.25">
      <c r="A135" t="s">
        <v>90</v>
      </c>
      <c r="B135" t="s">
        <v>2</v>
      </c>
      <c r="C135" t="s">
        <v>3</v>
      </c>
      <c r="D135">
        <v>9</v>
      </c>
      <c r="E135" t="s">
        <v>140</v>
      </c>
      <c r="F135" t="s">
        <v>143</v>
      </c>
      <c r="G135" t="s">
        <v>200</v>
      </c>
      <c r="H135" t="s">
        <v>149</v>
      </c>
    </row>
    <row r="136" spans="1:8" x14ac:dyDescent="0.25">
      <c r="A136" t="s">
        <v>134</v>
      </c>
      <c r="B136" t="s">
        <v>3</v>
      </c>
      <c r="C136" t="s">
        <v>2</v>
      </c>
      <c r="D136">
        <v>9</v>
      </c>
      <c r="E136" t="s">
        <v>140</v>
      </c>
      <c r="F136" t="s">
        <v>144</v>
      </c>
      <c r="G136" t="s">
        <v>200</v>
      </c>
      <c r="H136" t="s">
        <v>149</v>
      </c>
    </row>
    <row r="137" spans="1:8" x14ac:dyDescent="0.25">
      <c r="A137" t="s">
        <v>47</v>
      </c>
      <c r="B137" t="s">
        <v>3</v>
      </c>
      <c r="C137" t="s">
        <v>2</v>
      </c>
      <c r="D137">
        <v>9</v>
      </c>
      <c r="E137" t="s">
        <v>141</v>
      </c>
      <c r="F137" t="s">
        <v>142</v>
      </c>
      <c r="G137" t="s">
        <v>200</v>
      </c>
      <c r="H137" t="s">
        <v>149</v>
      </c>
    </row>
    <row r="138" spans="1:8" x14ac:dyDescent="0.25">
      <c r="A138" t="s">
        <v>91</v>
      </c>
      <c r="B138" t="s">
        <v>2</v>
      </c>
      <c r="C138" t="s">
        <v>3</v>
      </c>
      <c r="D138">
        <v>9</v>
      </c>
      <c r="E138" t="s">
        <v>141</v>
      </c>
      <c r="F138" t="s">
        <v>143</v>
      </c>
      <c r="G138" t="s">
        <v>200</v>
      </c>
      <c r="H138" t="s">
        <v>149</v>
      </c>
    </row>
    <row r="139" spans="1:8" x14ac:dyDescent="0.25">
      <c r="A139" t="s">
        <v>135</v>
      </c>
      <c r="B139" t="s">
        <v>3</v>
      </c>
      <c r="C139" t="s">
        <v>2</v>
      </c>
      <c r="D139">
        <v>9</v>
      </c>
      <c r="E139" t="s">
        <v>141</v>
      </c>
      <c r="F139" t="s">
        <v>144</v>
      </c>
      <c r="G139" t="s">
        <v>200</v>
      </c>
      <c r="H139" t="s">
        <v>149</v>
      </c>
    </row>
    <row r="140" spans="1:8" x14ac:dyDescent="0.25">
      <c r="A140" s="1" t="s">
        <v>136</v>
      </c>
      <c r="B140" t="s">
        <v>2</v>
      </c>
      <c r="C140" t="s">
        <v>3</v>
      </c>
      <c r="D140" s="1"/>
      <c r="E140" t="s">
        <v>140</v>
      </c>
      <c r="F140" t="s">
        <v>142</v>
      </c>
      <c r="G140" t="s">
        <v>198</v>
      </c>
      <c r="H140" t="s">
        <v>153</v>
      </c>
    </row>
    <row r="141" spans="1:8" x14ac:dyDescent="0.25">
      <c r="A141" s="1" t="s">
        <v>145</v>
      </c>
      <c r="B141" t="s">
        <v>3</v>
      </c>
      <c r="C141" t="s">
        <v>2</v>
      </c>
      <c r="E141" t="s">
        <v>140</v>
      </c>
      <c r="F141" t="s">
        <v>143</v>
      </c>
      <c r="G141" t="s">
        <v>198</v>
      </c>
      <c r="H141" t="s">
        <v>153</v>
      </c>
    </row>
    <row r="142" spans="1:8" x14ac:dyDescent="0.25">
      <c r="A142" s="1" t="s">
        <v>147</v>
      </c>
      <c r="B142" t="s">
        <v>3</v>
      </c>
      <c r="C142" t="s">
        <v>2</v>
      </c>
      <c r="E142" t="s">
        <v>140</v>
      </c>
      <c r="F142" t="s">
        <v>144</v>
      </c>
      <c r="G142" t="s">
        <v>198</v>
      </c>
      <c r="H142" t="s">
        <v>153</v>
      </c>
    </row>
    <row r="143" spans="1:8" x14ac:dyDescent="0.25">
      <c r="A143" s="1" t="s">
        <v>137</v>
      </c>
      <c r="B143" t="s">
        <v>2</v>
      </c>
      <c r="C143" t="s">
        <v>3</v>
      </c>
      <c r="D143" s="1"/>
      <c r="E143" t="s">
        <v>141</v>
      </c>
      <c r="F143" t="s">
        <v>142</v>
      </c>
      <c r="G143" t="s">
        <v>198</v>
      </c>
      <c r="H143" t="s">
        <v>153</v>
      </c>
    </row>
    <row r="144" spans="1:8" x14ac:dyDescent="0.25">
      <c r="A144" s="1" t="s">
        <v>146</v>
      </c>
      <c r="B144" t="s">
        <v>3</v>
      </c>
      <c r="C144" t="s">
        <v>2</v>
      </c>
      <c r="E144" t="s">
        <v>141</v>
      </c>
      <c r="F144" t="s">
        <v>143</v>
      </c>
      <c r="G144" t="s">
        <v>198</v>
      </c>
      <c r="H144" t="s">
        <v>153</v>
      </c>
    </row>
    <row r="145" spans="1:8" x14ac:dyDescent="0.25">
      <c r="A145" s="1" t="s">
        <v>148</v>
      </c>
      <c r="B145" t="s">
        <v>3</v>
      </c>
      <c r="C145" t="s">
        <v>2</v>
      </c>
      <c r="E145" t="s">
        <v>141</v>
      </c>
      <c r="F145" t="s">
        <v>144</v>
      </c>
      <c r="G145" t="s">
        <v>198</v>
      </c>
      <c r="H145" t="s">
        <v>153</v>
      </c>
    </row>
  </sheetData>
  <phoneticPr fontId="18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692C-E62B-4A83-9E6E-FD6AFF74CFD8}">
  <dimension ref="A1:D145"/>
  <sheetViews>
    <sheetView workbookViewId="0">
      <selection activeCell="F6" sqref="F6"/>
    </sheetView>
  </sheetViews>
  <sheetFormatPr baseColWidth="10" defaultRowHeight="13.8" x14ac:dyDescent="0.25"/>
  <cols>
    <col min="4" max="4" width="6.3984375" bestFit="1" customWidth="1"/>
  </cols>
  <sheetData>
    <row r="1" spans="1:4" x14ac:dyDescent="0.25">
      <c r="A1" t="s">
        <v>220</v>
      </c>
      <c r="B1" t="s">
        <v>221</v>
      </c>
      <c r="C1" t="s">
        <v>419</v>
      </c>
    </row>
    <row r="2" spans="1:4" x14ac:dyDescent="0.25">
      <c r="A2" s="1" t="s">
        <v>360</v>
      </c>
      <c r="B2" t="s">
        <v>2</v>
      </c>
      <c r="C2" t="str">
        <f>_xlfn.XLOOKUP(A2&amp;".png",Tabelle1[filename],Tabelle1[right_answer],"",0,1)</f>
        <v>true</v>
      </c>
      <c r="D2" t="b">
        <f>B2=C2</f>
        <v>1</v>
      </c>
    </row>
    <row r="3" spans="1:4" x14ac:dyDescent="0.25">
      <c r="A3" s="1" t="s">
        <v>361</v>
      </c>
      <c r="B3" t="s">
        <v>2</v>
      </c>
      <c r="C3" t="str">
        <f>_xlfn.XLOOKUP(A3&amp;".png",Tabelle1[filename],Tabelle1[right_answer],"",0,1)</f>
        <v>true</v>
      </c>
      <c r="D3" t="b">
        <f t="shared" ref="D3:D66" si="0">B3=C3</f>
        <v>1</v>
      </c>
    </row>
    <row r="4" spans="1:4" x14ac:dyDescent="0.25">
      <c r="A4" t="s">
        <v>222</v>
      </c>
      <c r="B4">
        <v>1</v>
      </c>
      <c r="C4">
        <f>_xlfn.XLOOKUP(A4&amp;".png",Tabelle1[filename],Tabelle1[right_answer],"",0,1)</f>
        <v>1</v>
      </c>
      <c r="D4" t="b">
        <f t="shared" si="0"/>
        <v>1</v>
      </c>
    </row>
    <row r="5" spans="1:4" x14ac:dyDescent="0.25">
      <c r="A5" t="s">
        <v>223</v>
      </c>
      <c r="B5">
        <v>1</v>
      </c>
      <c r="C5">
        <f>_xlfn.XLOOKUP(A5&amp;".png",Tabelle1[filename],Tabelle1[right_answer],"",0,1)</f>
        <v>1</v>
      </c>
      <c r="D5" t="b">
        <f t="shared" si="0"/>
        <v>1</v>
      </c>
    </row>
    <row r="6" spans="1:4" x14ac:dyDescent="0.25">
      <c r="A6" t="s">
        <v>224</v>
      </c>
      <c r="B6" t="s">
        <v>2</v>
      </c>
      <c r="C6" t="str">
        <f>_xlfn.XLOOKUP(A6&amp;".png",Tabelle1[filename],Tabelle1[right_answer],"",0,1)</f>
        <v>true</v>
      </c>
      <c r="D6" t="b">
        <f t="shared" si="0"/>
        <v>1</v>
      </c>
    </row>
    <row r="7" spans="1:4" x14ac:dyDescent="0.25">
      <c r="A7" t="s">
        <v>225</v>
      </c>
      <c r="B7" t="s">
        <v>2</v>
      </c>
      <c r="C7" t="str">
        <f>_xlfn.XLOOKUP(A7&amp;".png",Tabelle1[filename],Tabelle1[right_answer],"",0,1)</f>
        <v>true</v>
      </c>
      <c r="D7" t="b">
        <f t="shared" si="0"/>
        <v>1</v>
      </c>
    </row>
    <row r="8" spans="1:4" x14ac:dyDescent="0.25">
      <c r="A8" t="s">
        <v>226</v>
      </c>
      <c r="B8">
        <v>7</v>
      </c>
      <c r="C8">
        <f>_xlfn.XLOOKUP(A8&amp;".png",Tabelle1[filename],Tabelle1[right_answer],"",0,1)</f>
        <v>7</v>
      </c>
      <c r="D8" t="b">
        <f t="shared" si="0"/>
        <v>1</v>
      </c>
    </row>
    <row r="9" spans="1:4" x14ac:dyDescent="0.25">
      <c r="A9" t="s">
        <v>227</v>
      </c>
      <c r="B9">
        <v>7</v>
      </c>
      <c r="C9">
        <f>_xlfn.XLOOKUP(A9&amp;".png",Tabelle1[filename],Tabelle1[right_answer],"",0,1)</f>
        <v>7</v>
      </c>
      <c r="D9" t="b">
        <f t="shared" si="0"/>
        <v>1</v>
      </c>
    </row>
    <row r="10" spans="1:4" x14ac:dyDescent="0.25">
      <c r="A10" t="s">
        <v>228</v>
      </c>
      <c r="B10">
        <v>5</v>
      </c>
      <c r="C10">
        <f>_xlfn.XLOOKUP(A10&amp;".png",Tabelle1[filename],Tabelle1[right_answer],"",0,1)</f>
        <v>5</v>
      </c>
      <c r="D10" t="b">
        <f t="shared" si="0"/>
        <v>1</v>
      </c>
    </row>
    <row r="11" spans="1:4" x14ac:dyDescent="0.25">
      <c r="A11" t="s">
        <v>229</v>
      </c>
      <c r="B11">
        <v>5</v>
      </c>
      <c r="C11">
        <f>_xlfn.XLOOKUP(A11&amp;".png",Tabelle1[filename],Tabelle1[right_answer],"",0,1)</f>
        <v>5</v>
      </c>
      <c r="D11" t="b">
        <f t="shared" si="0"/>
        <v>1</v>
      </c>
    </row>
    <row r="12" spans="1:4" x14ac:dyDescent="0.25">
      <c r="A12" t="s">
        <v>230</v>
      </c>
      <c r="B12">
        <v>4</v>
      </c>
      <c r="C12">
        <f>_xlfn.XLOOKUP(A12&amp;".png",Tabelle1[filename],Tabelle1[right_answer],"",0,1)</f>
        <v>4</v>
      </c>
      <c r="D12" t="b">
        <f t="shared" si="0"/>
        <v>1</v>
      </c>
    </row>
    <row r="13" spans="1:4" x14ac:dyDescent="0.25">
      <c r="A13" t="s">
        <v>231</v>
      </c>
      <c r="B13">
        <v>4</v>
      </c>
      <c r="C13">
        <f>_xlfn.XLOOKUP(A13&amp;".png",Tabelle1[filename],Tabelle1[right_answer],"",0,1)</f>
        <v>4</v>
      </c>
      <c r="D13" t="b">
        <f t="shared" si="0"/>
        <v>1</v>
      </c>
    </row>
    <row r="14" spans="1:4" x14ac:dyDescent="0.25">
      <c r="A14" t="s">
        <v>232</v>
      </c>
      <c r="B14" t="s">
        <v>216</v>
      </c>
      <c r="C14" t="str">
        <f>_xlfn.XLOOKUP(A14&amp;".png",Tabelle1[filename],Tabelle1[right_answer],"",0,1)</f>
        <v>9.0</v>
      </c>
      <c r="D14" t="b">
        <f t="shared" si="0"/>
        <v>1</v>
      </c>
    </row>
    <row r="15" spans="1:4" x14ac:dyDescent="0.25">
      <c r="A15" t="s">
        <v>233</v>
      </c>
      <c r="B15" t="s">
        <v>216</v>
      </c>
      <c r="C15" t="str">
        <f>_xlfn.XLOOKUP(A15&amp;".png",Tabelle1[filename],Tabelle1[right_answer],"",0,1)</f>
        <v>9.0</v>
      </c>
      <c r="D15" t="b">
        <f t="shared" si="0"/>
        <v>1</v>
      </c>
    </row>
    <row r="16" spans="1:4" x14ac:dyDescent="0.25">
      <c r="A16" t="s">
        <v>234</v>
      </c>
      <c r="B16">
        <v>7</v>
      </c>
      <c r="C16">
        <f>_xlfn.XLOOKUP(A16&amp;".png",Tabelle1[filename],Tabelle1[right_answer],"",0,1)</f>
        <v>7</v>
      </c>
      <c r="D16" t="b">
        <f t="shared" si="0"/>
        <v>1</v>
      </c>
    </row>
    <row r="17" spans="1:4" x14ac:dyDescent="0.25">
      <c r="A17" t="s">
        <v>235</v>
      </c>
      <c r="B17">
        <v>7</v>
      </c>
      <c r="C17">
        <f>_xlfn.XLOOKUP(A17&amp;".png",Tabelle1[filename],Tabelle1[right_answer],"",0,1)</f>
        <v>7</v>
      </c>
      <c r="D17" t="b">
        <f t="shared" si="0"/>
        <v>1</v>
      </c>
    </row>
    <row r="18" spans="1:4" x14ac:dyDescent="0.25">
      <c r="A18" t="s">
        <v>236</v>
      </c>
      <c r="B18">
        <v>6</v>
      </c>
      <c r="C18">
        <f>_xlfn.XLOOKUP(A18&amp;".png",Tabelle1[filename],Tabelle1[right_answer],"",0,1)</f>
        <v>6</v>
      </c>
      <c r="D18" t="b">
        <f t="shared" si="0"/>
        <v>1</v>
      </c>
    </row>
    <row r="19" spans="1:4" x14ac:dyDescent="0.25">
      <c r="A19" t="s">
        <v>237</v>
      </c>
      <c r="B19">
        <v>6</v>
      </c>
      <c r="C19">
        <f>_xlfn.XLOOKUP(A19&amp;".png",Tabelle1[filename],Tabelle1[right_answer],"",0,1)</f>
        <v>6</v>
      </c>
      <c r="D19" t="b">
        <f t="shared" si="0"/>
        <v>1</v>
      </c>
    </row>
    <row r="20" spans="1:4" x14ac:dyDescent="0.25">
      <c r="A20" t="s">
        <v>238</v>
      </c>
      <c r="B20">
        <v>2</v>
      </c>
      <c r="C20">
        <f>_xlfn.XLOOKUP(A20&amp;".png",Tabelle1[filename],Tabelle1[right_answer],"",0,1)</f>
        <v>2</v>
      </c>
      <c r="D20" t="b">
        <f t="shared" si="0"/>
        <v>1</v>
      </c>
    </row>
    <row r="21" spans="1:4" x14ac:dyDescent="0.25">
      <c r="A21" t="s">
        <v>239</v>
      </c>
      <c r="B21">
        <v>2</v>
      </c>
      <c r="C21">
        <f>_xlfn.XLOOKUP(A21&amp;".png",Tabelle1[filename],Tabelle1[right_answer],"",0,1)</f>
        <v>2</v>
      </c>
      <c r="D21" t="b">
        <f t="shared" si="0"/>
        <v>1</v>
      </c>
    </row>
    <row r="22" spans="1:4" x14ac:dyDescent="0.25">
      <c r="A22" t="s">
        <v>240</v>
      </c>
      <c r="B22" t="s">
        <v>2</v>
      </c>
      <c r="C22" t="str">
        <f>_xlfn.XLOOKUP(A22&amp;".png",Tabelle1[filename],Tabelle1[right_answer],"",0,1)</f>
        <v>true</v>
      </c>
      <c r="D22" t="b">
        <f t="shared" si="0"/>
        <v>1</v>
      </c>
    </row>
    <row r="23" spans="1:4" x14ac:dyDescent="0.25">
      <c r="A23" t="s">
        <v>241</v>
      </c>
      <c r="B23" t="s">
        <v>2</v>
      </c>
      <c r="C23" t="str">
        <f>_xlfn.XLOOKUP(A23&amp;".png",Tabelle1[filename],Tabelle1[right_answer],"",0,1)</f>
        <v>true</v>
      </c>
      <c r="D23" t="b">
        <f t="shared" si="0"/>
        <v>1</v>
      </c>
    </row>
    <row r="24" spans="1:4" x14ac:dyDescent="0.25">
      <c r="A24" t="s">
        <v>242</v>
      </c>
      <c r="B24">
        <v>0</v>
      </c>
      <c r="C24">
        <f>_xlfn.XLOOKUP(A24&amp;".png",Tabelle1[filename],Tabelle1[right_answer],"",0,1)</f>
        <v>0</v>
      </c>
      <c r="D24" t="b">
        <f t="shared" si="0"/>
        <v>1</v>
      </c>
    </row>
    <row r="25" spans="1:4" x14ac:dyDescent="0.25">
      <c r="A25" t="s">
        <v>243</v>
      </c>
      <c r="B25">
        <v>0</v>
      </c>
      <c r="C25">
        <f>_xlfn.XLOOKUP(A25&amp;".png",Tabelle1[filename],Tabelle1[right_answer],"",0,1)</f>
        <v>0</v>
      </c>
      <c r="D25" t="b">
        <f t="shared" si="0"/>
        <v>1</v>
      </c>
    </row>
    <row r="26" spans="1:4" x14ac:dyDescent="0.25">
      <c r="A26" t="s">
        <v>244</v>
      </c>
      <c r="B26">
        <v>2</v>
      </c>
      <c r="C26">
        <f>_xlfn.XLOOKUP(A26&amp;".png",Tabelle1[filename],Tabelle1[right_answer],"",0,1)</f>
        <v>2</v>
      </c>
      <c r="D26" t="b">
        <f t="shared" si="0"/>
        <v>1</v>
      </c>
    </row>
    <row r="27" spans="1:4" x14ac:dyDescent="0.25">
      <c r="A27" t="s">
        <v>245</v>
      </c>
      <c r="B27">
        <v>2</v>
      </c>
      <c r="C27">
        <f>_xlfn.XLOOKUP(A27&amp;".png",Tabelle1[filename],Tabelle1[right_answer],"",0,1)</f>
        <v>2</v>
      </c>
      <c r="D27" t="b">
        <f t="shared" si="0"/>
        <v>1</v>
      </c>
    </row>
    <row r="28" spans="1:4" x14ac:dyDescent="0.25">
      <c r="A28" t="s">
        <v>246</v>
      </c>
      <c r="B28" t="s">
        <v>2</v>
      </c>
      <c r="C28" t="str">
        <f>_xlfn.XLOOKUP(A28&amp;".png",Tabelle1[filename],Tabelle1[right_answer],"",0,1)</f>
        <v>true</v>
      </c>
      <c r="D28" t="b">
        <f t="shared" si="0"/>
        <v>1</v>
      </c>
    </row>
    <row r="29" spans="1:4" x14ac:dyDescent="0.25">
      <c r="A29" t="s">
        <v>247</v>
      </c>
      <c r="B29" t="s">
        <v>2</v>
      </c>
      <c r="C29" t="str">
        <f>_xlfn.XLOOKUP(A29&amp;".png",Tabelle1[filename],Tabelle1[right_answer],"",0,1)</f>
        <v>true</v>
      </c>
      <c r="D29" t="b">
        <f t="shared" si="0"/>
        <v>1</v>
      </c>
    </row>
    <row r="30" spans="1:4" x14ac:dyDescent="0.25">
      <c r="A30" t="s">
        <v>248</v>
      </c>
      <c r="B30">
        <v>0</v>
      </c>
      <c r="C30">
        <f>_xlfn.XLOOKUP(A30&amp;".png",Tabelle1[filename],Tabelle1[right_answer],"",0,1)</f>
        <v>0</v>
      </c>
      <c r="D30" t="b">
        <f t="shared" si="0"/>
        <v>1</v>
      </c>
    </row>
    <row r="31" spans="1:4" x14ac:dyDescent="0.25">
      <c r="A31" t="s">
        <v>249</v>
      </c>
      <c r="B31">
        <v>0</v>
      </c>
      <c r="C31">
        <f>_xlfn.XLOOKUP(A31&amp;".png",Tabelle1[filename],Tabelle1[right_answer],"",0,1)</f>
        <v>0</v>
      </c>
      <c r="D31" t="b">
        <f t="shared" si="0"/>
        <v>1</v>
      </c>
    </row>
    <row r="32" spans="1:4" x14ac:dyDescent="0.25">
      <c r="A32" t="s">
        <v>250</v>
      </c>
      <c r="B32">
        <v>8</v>
      </c>
      <c r="C32">
        <f>_xlfn.XLOOKUP(A32&amp;".png",Tabelle1[filename],Tabelle1[right_answer],"",0,1)</f>
        <v>8</v>
      </c>
      <c r="D32" t="b">
        <f t="shared" si="0"/>
        <v>1</v>
      </c>
    </row>
    <row r="33" spans="1:4" x14ac:dyDescent="0.25">
      <c r="A33" t="s">
        <v>251</v>
      </c>
      <c r="B33">
        <v>8</v>
      </c>
      <c r="C33">
        <f>_xlfn.XLOOKUP(A33&amp;".png",Tabelle1[filename],Tabelle1[right_answer],"",0,1)</f>
        <v>8</v>
      </c>
      <c r="D33" t="b">
        <f t="shared" si="0"/>
        <v>1</v>
      </c>
    </row>
    <row r="34" spans="1:4" x14ac:dyDescent="0.25">
      <c r="A34" t="s">
        <v>252</v>
      </c>
      <c r="B34" t="s">
        <v>2</v>
      </c>
      <c r="C34" t="str">
        <f>_xlfn.XLOOKUP(A34&amp;".png",Tabelle1[filename],Tabelle1[right_answer],"",0,1)</f>
        <v>true</v>
      </c>
      <c r="D34" t="b">
        <f t="shared" si="0"/>
        <v>1</v>
      </c>
    </row>
    <row r="35" spans="1:4" x14ac:dyDescent="0.25">
      <c r="A35" t="s">
        <v>253</v>
      </c>
      <c r="B35" t="s">
        <v>2</v>
      </c>
      <c r="C35" t="str">
        <f>_xlfn.XLOOKUP(A35&amp;".png",Tabelle1[filename],Tabelle1[right_answer],"",0,1)</f>
        <v>true</v>
      </c>
      <c r="D35" t="b">
        <f t="shared" si="0"/>
        <v>1</v>
      </c>
    </row>
    <row r="36" spans="1:4" x14ac:dyDescent="0.25">
      <c r="A36" t="s">
        <v>254</v>
      </c>
      <c r="B36">
        <v>32</v>
      </c>
      <c r="C36">
        <f>_xlfn.XLOOKUP(A36&amp;".png",Tabelle1[filename],Tabelle1[right_answer],"",0,1)</f>
        <v>32</v>
      </c>
      <c r="D36" t="b">
        <f t="shared" si="0"/>
        <v>1</v>
      </c>
    </row>
    <row r="37" spans="1:4" x14ac:dyDescent="0.25">
      <c r="A37" t="s">
        <v>255</v>
      </c>
      <c r="B37">
        <v>32</v>
      </c>
      <c r="C37">
        <f>_xlfn.XLOOKUP(A37&amp;".png",Tabelle1[filename],Tabelle1[right_answer],"",0,1)</f>
        <v>32</v>
      </c>
      <c r="D37" t="b">
        <f t="shared" si="0"/>
        <v>1</v>
      </c>
    </row>
    <row r="38" spans="1:4" x14ac:dyDescent="0.25">
      <c r="A38" t="s">
        <v>256</v>
      </c>
      <c r="B38">
        <v>4</v>
      </c>
      <c r="C38">
        <f>_xlfn.XLOOKUP(A38&amp;".png",Tabelle1[filename],Tabelle1[right_answer],"",0,1)</f>
        <v>4</v>
      </c>
      <c r="D38" t="b">
        <f t="shared" si="0"/>
        <v>1</v>
      </c>
    </row>
    <row r="39" spans="1:4" x14ac:dyDescent="0.25">
      <c r="A39" t="s">
        <v>257</v>
      </c>
      <c r="B39">
        <v>4</v>
      </c>
      <c r="C39">
        <f>_xlfn.XLOOKUP(A39&amp;".png",Tabelle1[filename],Tabelle1[right_answer],"",0,1)</f>
        <v>4</v>
      </c>
      <c r="D39" t="b">
        <f t="shared" si="0"/>
        <v>1</v>
      </c>
    </row>
    <row r="40" spans="1:4" x14ac:dyDescent="0.25">
      <c r="A40" t="s">
        <v>258</v>
      </c>
      <c r="B40">
        <v>3</v>
      </c>
      <c r="C40">
        <f>_xlfn.XLOOKUP(A40&amp;".png",Tabelle1[filename],Tabelle1[right_answer],"",0,1)</f>
        <v>3</v>
      </c>
      <c r="D40" t="b">
        <f t="shared" si="0"/>
        <v>1</v>
      </c>
    </row>
    <row r="41" spans="1:4" x14ac:dyDescent="0.25">
      <c r="A41" t="s">
        <v>259</v>
      </c>
      <c r="B41">
        <v>3</v>
      </c>
      <c r="C41">
        <f>_xlfn.XLOOKUP(A41&amp;".png",Tabelle1[filename],Tabelle1[right_answer],"",0,1)</f>
        <v>3</v>
      </c>
      <c r="D41" t="b">
        <f t="shared" si="0"/>
        <v>1</v>
      </c>
    </row>
    <row r="42" spans="1:4" x14ac:dyDescent="0.25">
      <c r="A42" t="s">
        <v>260</v>
      </c>
      <c r="B42">
        <v>9</v>
      </c>
      <c r="C42">
        <f>_xlfn.XLOOKUP(A42&amp;".png",Tabelle1[filename],Tabelle1[right_answer],"",0,1)</f>
        <v>9</v>
      </c>
      <c r="D42" t="b">
        <f t="shared" si="0"/>
        <v>1</v>
      </c>
    </row>
    <row r="43" spans="1:4" x14ac:dyDescent="0.25">
      <c r="A43" t="s">
        <v>261</v>
      </c>
      <c r="B43">
        <v>9</v>
      </c>
      <c r="C43">
        <f>_xlfn.XLOOKUP(A43&amp;".png",Tabelle1[filename],Tabelle1[right_answer],"",0,1)</f>
        <v>9</v>
      </c>
      <c r="D43" t="b">
        <f t="shared" si="0"/>
        <v>1</v>
      </c>
    </row>
    <row r="44" spans="1:4" x14ac:dyDescent="0.25">
      <c r="A44" t="s">
        <v>262</v>
      </c>
      <c r="B44">
        <v>5</v>
      </c>
      <c r="C44">
        <f>_xlfn.XLOOKUP(A44&amp;".png",Tabelle1[filename],Tabelle1[right_answer],"",0,1)</f>
        <v>5</v>
      </c>
      <c r="D44" t="b">
        <f t="shared" si="0"/>
        <v>1</v>
      </c>
    </row>
    <row r="45" spans="1:4" x14ac:dyDescent="0.25">
      <c r="A45" t="s">
        <v>263</v>
      </c>
      <c r="B45">
        <v>5</v>
      </c>
      <c r="C45">
        <f>_xlfn.XLOOKUP(A45&amp;".png",Tabelle1[filename],Tabelle1[right_answer],"",0,1)</f>
        <v>5</v>
      </c>
      <c r="D45" t="b">
        <f t="shared" si="0"/>
        <v>1</v>
      </c>
    </row>
    <row r="46" spans="1:4" x14ac:dyDescent="0.25">
      <c r="A46" t="s">
        <v>264</v>
      </c>
      <c r="B46" t="s">
        <v>2</v>
      </c>
      <c r="C46" t="str">
        <f>_xlfn.XLOOKUP(A46&amp;".png",Tabelle1[filename],Tabelle1[right_answer],"",0,1)</f>
        <v>true</v>
      </c>
      <c r="D46" t="b">
        <f t="shared" si="0"/>
        <v>1</v>
      </c>
    </row>
    <row r="47" spans="1:4" x14ac:dyDescent="0.25">
      <c r="A47" t="s">
        <v>265</v>
      </c>
      <c r="B47" t="s">
        <v>2</v>
      </c>
      <c r="C47" t="str">
        <f>_xlfn.XLOOKUP(A47&amp;".png",Tabelle1[filename],Tabelle1[right_answer],"",0,1)</f>
        <v>true</v>
      </c>
      <c r="D47" t="b">
        <f t="shared" si="0"/>
        <v>1</v>
      </c>
    </row>
    <row r="48" spans="1:4" x14ac:dyDescent="0.25">
      <c r="A48" t="s">
        <v>266</v>
      </c>
      <c r="B48" t="s">
        <v>3</v>
      </c>
      <c r="C48" t="str">
        <f>_xlfn.XLOOKUP(A48&amp;".png",Tabelle1[filename],Tabelle1[right_answer],"",0,1)</f>
        <v>false</v>
      </c>
      <c r="D48" t="b">
        <f t="shared" si="0"/>
        <v>1</v>
      </c>
    </row>
    <row r="49" spans="1:4" x14ac:dyDescent="0.25">
      <c r="A49" t="s">
        <v>267</v>
      </c>
      <c r="B49" t="s">
        <v>3</v>
      </c>
      <c r="C49" t="str">
        <f>_xlfn.XLOOKUP(A49&amp;".png",Tabelle1[filename],Tabelle1[right_answer],"",0,1)</f>
        <v>false</v>
      </c>
      <c r="D49" t="b">
        <f t="shared" si="0"/>
        <v>1</v>
      </c>
    </row>
    <row r="50" spans="1:4" x14ac:dyDescent="0.25">
      <c r="A50" s="1" t="s">
        <v>362</v>
      </c>
      <c r="B50" t="s">
        <v>3</v>
      </c>
      <c r="C50" t="str">
        <f>_xlfn.XLOOKUP(A50&amp;".png",Tabelle1[filename],Tabelle1[right_answer],"",0,1)</f>
        <v>false</v>
      </c>
      <c r="D50" t="b">
        <f t="shared" si="0"/>
        <v>1</v>
      </c>
    </row>
    <row r="51" spans="1:4" x14ac:dyDescent="0.25">
      <c r="A51" s="1" t="s">
        <v>363</v>
      </c>
      <c r="B51" t="s">
        <v>3</v>
      </c>
      <c r="C51" t="str">
        <f>_xlfn.XLOOKUP(A51&amp;".png",Tabelle1[filename],Tabelle1[right_answer],"",0,1)</f>
        <v>false</v>
      </c>
      <c r="D51" t="b">
        <f t="shared" si="0"/>
        <v>1</v>
      </c>
    </row>
    <row r="52" spans="1:4" x14ac:dyDescent="0.25">
      <c r="A52" t="s">
        <v>268</v>
      </c>
      <c r="B52">
        <v>-1</v>
      </c>
      <c r="C52">
        <f>_xlfn.XLOOKUP(A52&amp;".png",Tabelle1[filename],Tabelle1[right_answer],"",0,1)</f>
        <v>-1</v>
      </c>
      <c r="D52" t="b">
        <f t="shared" si="0"/>
        <v>1</v>
      </c>
    </row>
    <row r="53" spans="1:4" x14ac:dyDescent="0.25">
      <c r="A53" t="s">
        <v>269</v>
      </c>
      <c r="B53">
        <v>-1</v>
      </c>
      <c r="C53">
        <f>_xlfn.XLOOKUP(A53&amp;".png",Tabelle1[filename],Tabelle1[right_answer],"",0,1)</f>
        <v>-1</v>
      </c>
      <c r="D53" t="b">
        <f t="shared" si="0"/>
        <v>1</v>
      </c>
    </row>
    <row r="54" spans="1:4" x14ac:dyDescent="0.25">
      <c r="A54" t="s">
        <v>270</v>
      </c>
      <c r="B54" t="s">
        <v>3</v>
      </c>
      <c r="C54" t="str">
        <f>_xlfn.XLOOKUP(A54&amp;".png",Tabelle1[filename],Tabelle1[right_answer],"",0,1)</f>
        <v>false</v>
      </c>
      <c r="D54" t="b">
        <f t="shared" si="0"/>
        <v>1</v>
      </c>
    </row>
    <row r="55" spans="1:4" x14ac:dyDescent="0.25">
      <c r="A55" t="s">
        <v>271</v>
      </c>
      <c r="B55" t="s">
        <v>3</v>
      </c>
      <c r="C55" t="str">
        <f>_xlfn.XLOOKUP(A55&amp;".png",Tabelle1[filename],Tabelle1[right_answer],"",0,1)</f>
        <v>false</v>
      </c>
      <c r="D55" t="b">
        <f t="shared" si="0"/>
        <v>1</v>
      </c>
    </row>
    <row r="56" spans="1:4" x14ac:dyDescent="0.25">
      <c r="A56" t="s">
        <v>272</v>
      </c>
      <c r="B56">
        <v>0</v>
      </c>
      <c r="C56">
        <f>_xlfn.XLOOKUP(A56&amp;".png",Tabelle1[filename],Tabelle1[right_answer],"",0,1)</f>
        <v>0</v>
      </c>
      <c r="D56" t="b">
        <f t="shared" si="0"/>
        <v>1</v>
      </c>
    </row>
    <row r="57" spans="1:4" x14ac:dyDescent="0.25">
      <c r="A57" t="s">
        <v>273</v>
      </c>
      <c r="B57">
        <v>0</v>
      </c>
      <c r="C57">
        <f>_xlfn.XLOOKUP(A57&amp;".png",Tabelle1[filename],Tabelle1[right_answer],"",0,1)</f>
        <v>0</v>
      </c>
      <c r="D57" t="b">
        <f t="shared" si="0"/>
        <v>1</v>
      </c>
    </row>
    <row r="58" spans="1:4" x14ac:dyDescent="0.25">
      <c r="A58" t="s">
        <v>274</v>
      </c>
      <c r="B58">
        <v>11</v>
      </c>
      <c r="C58">
        <f>_xlfn.XLOOKUP(A58&amp;".png",Tabelle1[filename],Tabelle1[right_answer],"",0,1)</f>
        <v>11</v>
      </c>
      <c r="D58" t="b">
        <f t="shared" si="0"/>
        <v>1</v>
      </c>
    </row>
    <row r="59" spans="1:4" x14ac:dyDescent="0.25">
      <c r="A59" t="s">
        <v>275</v>
      </c>
      <c r="B59">
        <v>11</v>
      </c>
      <c r="C59">
        <f>_xlfn.XLOOKUP(A59&amp;".png",Tabelle1[filename],Tabelle1[right_answer],"",0,1)</f>
        <v>11</v>
      </c>
      <c r="D59" t="b">
        <f t="shared" si="0"/>
        <v>1</v>
      </c>
    </row>
    <row r="60" spans="1:4" x14ac:dyDescent="0.25">
      <c r="A60" t="s">
        <v>276</v>
      </c>
      <c r="B60">
        <v>12</v>
      </c>
      <c r="C60">
        <f>_xlfn.XLOOKUP(A60&amp;".png",Tabelle1[filename],Tabelle1[right_answer],"",0,1)</f>
        <v>12</v>
      </c>
      <c r="D60" t="b">
        <f t="shared" si="0"/>
        <v>1</v>
      </c>
    </row>
    <row r="61" spans="1:4" x14ac:dyDescent="0.25">
      <c r="A61" t="s">
        <v>277</v>
      </c>
      <c r="B61">
        <v>12</v>
      </c>
      <c r="C61">
        <f>_xlfn.XLOOKUP(A61&amp;".png",Tabelle1[filename],Tabelle1[right_answer],"",0,1)</f>
        <v>12</v>
      </c>
      <c r="D61" t="b">
        <f t="shared" si="0"/>
        <v>1</v>
      </c>
    </row>
    <row r="62" spans="1:4" x14ac:dyDescent="0.25">
      <c r="A62" t="s">
        <v>278</v>
      </c>
      <c r="B62" t="s">
        <v>217</v>
      </c>
      <c r="C62" t="str">
        <f>_xlfn.XLOOKUP(A62&amp;".png",Tabelle1[filename],Tabelle1[right_answer],"",0,1)</f>
        <v>13.0</v>
      </c>
      <c r="D62" t="b">
        <f t="shared" si="0"/>
        <v>1</v>
      </c>
    </row>
    <row r="63" spans="1:4" x14ac:dyDescent="0.25">
      <c r="A63" t="s">
        <v>279</v>
      </c>
      <c r="B63" t="s">
        <v>217</v>
      </c>
      <c r="C63" t="str">
        <f>_xlfn.XLOOKUP(A63&amp;".png",Tabelle1[filename],Tabelle1[right_answer],"",0,1)</f>
        <v>13.0</v>
      </c>
      <c r="D63" t="b">
        <f t="shared" si="0"/>
        <v>1</v>
      </c>
    </row>
    <row r="64" spans="1:4" x14ac:dyDescent="0.25">
      <c r="A64" t="s">
        <v>280</v>
      </c>
      <c r="B64">
        <v>5</v>
      </c>
      <c r="C64">
        <f>_xlfn.XLOOKUP(A64&amp;".png",Tabelle1[filename],Tabelle1[right_answer],"",0,1)</f>
        <v>5</v>
      </c>
      <c r="D64" t="b">
        <f t="shared" si="0"/>
        <v>1</v>
      </c>
    </row>
    <row r="65" spans="1:4" x14ac:dyDescent="0.25">
      <c r="A65" t="s">
        <v>281</v>
      </c>
      <c r="B65">
        <v>5</v>
      </c>
      <c r="C65">
        <f>_xlfn.XLOOKUP(A65&amp;".png",Tabelle1[filename],Tabelle1[right_answer],"",0,1)</f>
        <v>5</v>
      </c>
      <c r="D65" t="b">
        <f t="shared" si="0"/>
        <v>1</v>
      </c>
    </row>
    <row r="66" spans="1:4" x14ac:dyDescent="0.25">
      <c r="A66" t="s">
        <v>282</v>
      </c>
      <c r="B66">
        <v>1</v>
      </c>
      <c r="C66">
        <f>_xlfn.XLOOKUP(A66&amp;".png",Tabelle1[filename],Tabelle1[right_answer],"",0,1)</f>
        <v>1</v>
      </c>
      <c r="D66" t="b">
        <f t="shared" si="0"/>
        <v>1</v>
      </c>
    </row>
    <row r="67" spans="1:4" x14ac:dyDescent="0.25">
      <c r="A67" t="s">
        <v>283</v>
      </c>
      <c r="B67">
        <v>1</v>
      </c>
      <c r="C67">
        <f>_xlfn.XLOOKUP(A67&amp;".png",Tabelle1[filename],Tabelle1[right_answer],"",0,1)</f>
        <v>1</v>
      </c>
      <c r="D67" t="b">
        <f t="shared" ref="D67:D130" si="1">B67=C67</f>
        <v>1</v>
      </c>
    </row>
    <row r="68" spans="1:4" x14ac:dyDescent="0.25">
      <c r="A68" t="s">
        <v>284</v>
      </c>
      <c r="B68">
        <v>2</v>
      </c>
      <c r="C68">
        <f>_xlfn.XLOOKUP(A68&amp;".png",Tabelle1[filename],Tabelle1[right_answer],"",0,1)</f>
        <v>2</v>
      </c>
      <c r="D68" t="b">
        <f t="shared" si="1"/>
        <v>1</v>
      </c>
    </row>
    <row r="69" spans="1:4" x14ac:dyDescent="0.25">
      <c r="A69" t="s">
        <v>285</v>
      </c>
      <c r="B69">
        <v>2</v>
      </c>
      <c r="C69">
        <f>_xlfn.XLOOKUP(A69&amp;".png",Tabelle1[filename],Tabelle1[right_answer],"",0,1)</f>
        <v>2</v>
      </c>
      <c r="D69" t="b">
        <f t="shared" si="1"/>
        <v>1</v>
      </c>
    </row>
    <row r="70" spans="1:4" x14ac:dyDescent="0.25">
      <c r="A70" t="s">
        <v>286</v>
      </c>
      <c r="B70" t="s">
        <v>2</v>
      </c>
      <c r="C70" t="str">
        <f>_xlfn.XLOOKUP(A70&amp;".png",Tabelle1[filename],Tabelle1[right_answer],"",0,1)</f>
        <v>true</v>
      </c>
      <c r="D70" t="b">
        <f t="shared" si="1"/>
        <v>1</v>
      </c>
    </row>
    <row r="71" spans="1:4" x14ac:dyDescent="0.25">
      <c r="A71" t="s">
        <v>287</v>
      </c>
      <c r="B71" t="s">
        <v>2</v>
      </c>
      <c r="C71" t="str">
        <f>_xlfn.XLOOKUP(A71&amp;".png",Tabelle1[filename],Tabelle1[right_answer],"",0,1)</f>
        <v>true</v>
      </c>
      <c r="D71" t="b">
        <f t="shared" si="1"/>
        <v>1</v>
      </c>
    </row>
    <row r="72" spans="1:4" x14ac:dyDescent="0.25">
      <c r="A72" t="s">
        <v>288</v>
      </c>
      <c r="B72">
        <v>6</v>
      </c>
      <c r="C72">
        <f>_xlfn.XLOOKUP(A72&amp;".png",Tabelle1[filename],Tabelle1[right_answer],"",0,1)</f>
        <v>6</v>
      </c>
      <c r="D72" t="b">
        <f t="shared" si="1"/>
        <v>1</v>
      </c>
    </row>
    <row r="73" spans="1:4" x14ac:dyDescent="0.25">
      <c r="A73" t="s">
        <v>289</v>
      </c>
      <c r="B73">
        <v>6</v>
      </c>
      <c r="C73">
        <f>_xlfn.XLOOKUP(A73&amp;".png",Tabelle1[filename],Tabelle1[right_answer],"",0,1)</f>
        <v>6</v>
      </c>
      <c r="D73" t="b">
        <f t="shared" si="1"/>
        <v>1</v>
      </c>
    </row>
    <row r="74" spans="1:4" x14ac:dyDescent="0.25">
      <c r="A74" t="s">
        <v>290</v>
      </c>
      <c r="B74">
        <v>22</v>
      </c>
      <c r="C74">
        <f>_xlfn.XLOOKUP(A74&amp;".png",Tabelle1[filename],Tabelle1[right_answer],"",0,1)</f>
        <v>22</v>
      </c>
      <c r="D74" t="b">
        <f t="shared" si="1"/>
        <v>1</v>
      </c>
    </row>
    <row r="75" spans="1:4" x14ac:dyDescent="0.25">
      <c r="A75" t="s">
        <v>291</v>
      </c>
      <c r="B75">
        <v>22</v>
      </c>
      <c r="C75">
        <f>_xlfn.XLOOKUP(A75&amp;".png",Tabelle1[filename],Tabelle1[right_answer],"",0,1)</f>
        <v>22</v>
      </c>
      <c r="D75" t="b">
        <f t="shared" si="1"/>
        <v>1</v>
      </c>
    </row>
    <row r="76" spans="1:4" x14ac:dyDescent="0.25">
      <c r="A76" t="s">
        <v>292</v>
      </c>
      <c r="B76" t="s">
        <v>2</v>
      </c>
      <c r="C76" t="str">
        <f>_xlfn.XLOOKUP(A76&amp;".png",Tabelle1[filename],Tabelle1[right_answer],"",0,1)</f>
        <v>true</v>
      </c>
      <c r="D76" t="b">
        <f t="shared" si="1"/>
        <v>1</v>
      </c>
    </row>
    <row r="77" spans="1:4" x14ac:dyDescent="0.25">
      <c r="A77" t="s">
        <v>293</v>
      </c>
      <c r="B77" t="s">
        <v>2</v>
      </c>
      <c r="C77" t="str">
        <f>_xlfn.XLOOKUP(A77&amp;".png",Tabelle1[filename],Tabelle1[right_answer],"",0,1)</f>
        <v>true</v>
      </c>
      <c r="D77" t="b">
        <f t="shared" si="1"/>
        <v>1</v>
      </c>
    </row>
    <row r="78" spans="1:4" x14ac:dyDescent="0.25">
      <c r="A78" t="s">
        <v>294</v>
      </c>
      <c r="B78">
        <v>9</v>
      </c>
      <c r="C78">
        <f>_xlfn.XLOOKUP(A78&amp;".png",Tabelle1[filename],Tabelle1[right_answer],"",0,1)</f>
        <v>9</v>
      </c>
      <c r="D78" t="b">
        <f t="shared" si="1"/>
        <v>1</v>
      </c>
    </row>
    <row r="79" spans="1:4" x14ac:dyDescent="0.25">
      <c r="A79" t="s">
        <v>295</v>
      </c>
      <c r="B79">
        <v>9</v>
      </c>
      <c r="C79">
        <f>_xlfn.XLOOKUP(A79&amp;".png",Tabelle1[filename],Tabelle1[right_answer],"",0,1)</f>
        <v>9</v>
      </c>
      <c r="D79" t="b">
        <f t="shared" si="1"/>
        <v>1</v>
      </c>
    </row>
    <row r="80" spans="1:4" x14ac:dyDescent="0.25">
      <c r="A80" t="s">
        <v>296</v>
      </c>
      <c r="B80">
        <v>10</v>
      </c>
      <c r="C80">
        <f>_xlfn.XLOOKUP(A80&amp;".png",Tabelle1[filename],Tabelle1[right_answer],"",0,1)</f>
        <v>10</v>
      </c>
      <c r="D80" t="b">
        <f t="shared" si="1"/>
        <v>1</v>
      </c>
    </row>
    <row r="81" spans="1:4" x14ac:dyDescent="0.25">
      <c r="A81" t="s">
        <v>297</v>
      </c>
      <c r="B81">
        <v>10</v>
      </c>
      <c r="C81">
        <f>_xlfn.XLOOKUP(A81&amp;".png",Tabelle1[filename],Tabelle1[right_answer],"",0,1)</f>
        <v>10</v>
      </c>
      <c r="D81" t="b">
        <f t="shared" si="1"/>
        <v>1</v>
      </c>
    </row>
    <row r="82" spans="1:4" x14ac:dyDescent="0.25">
      <c r="A82" t="s">
        <v>298</v>
      </c>
      <c r="B82" t="s">
        <v>2</v>
      </c>
      <c r="C82" t="str">
        <f>_xlfn.XLOOKUP(A82&amp;".png",Tabelle1[filename],Tabelle1[right_answer],"",0,1)</f>
        <v>true</v>
      </c>
      <c r="D82" t="b">
        <f t="shared" si="1"/>
        <v>1</v>
      </c>
    </row>
    <row r="83" spans="1:4" x14ac:dyDescent="0.25">
      <c r="A83" t="s">
        <v>299</v>
      </c>
      <c r="B83" t="s">
        <v>2</v>
      </c>
      <c r="C83" t="str">
        <f>_xlfn.XLOOKUP(A83&amp;".png",Tabelle1[filename],Tabelle1[right_answer],"",0,1)</f>
        <v>true</v>
      </c>
      <c r="D83" t="b">
        <f t="shared" si="1"/>
        <v>1</v>
      </c>
    </row>
    <row r="84" spans="1:4" x14ac:dyDescent="0.25">
      <c r="A84" t="s">
        <v>300</v>
      </c>
      <c r="B84">
        <v>0</v>
      </c>
      <c r="C84">
        <f>_xlfn.XLOOKUP(A84&amp;".png",Tabelle1[filename],Tabelle1[right_answer],"",0,1)</f>
        <v>0</v>
      </c>
      <c r="D84" t="b">
        <f t="shared" si="1"/>
        <v>1</v>
      </c>
    </row>
    <row r="85" spans="1:4" x14ac:dyDescent="0.25">
      <c r="A85" t="s">
        <v>301</v>
      </c>
      <c r="B85">
        <v>0</v>
      </c>
      <c r="C85">
        <f>_xlfn.XLOOKUP(A85&amp;".png",Tabelle1[filename],Tabelle1[right_answer],"",0,1)</f>
        <v>0</v>
      </c>
      <c r="D85" t="b">
        <f t="shared" si="1"/>
        <v>1</v>
      </c>
    </row>
    <row r="86" spans="1:4" x14ac:dyDescent="0.25">
      <c r="A86" t="s">
        <v>302</v>
      </c>
      <c r="B86">
        <v>256</v>
      </c>
      <c r="C86">
        <f>_xlfn.XLOOKUP(A86&amp;".png",Tabelle1[filename],Tabelle1[right_answer],"",0,1)</f>
        <v>256</v>
      </c>
      <c r="D86" t="b">
        <f t="shared" si="1"/>
        <v>1</v>
      </c>
    </row>
    <row r="87" spans="1:4" x14ac:dyDescent="0.25">
      <c r="A87" t="s">
        <v>303</v>
      </c>
      <c r="B87">
        <v>256</v>
      </c>
      <c r="C87">
        <f>_xlfn.XLOOKUP(A87&amp;".png",Tabelle1[filename],Tabelle1[right_answer],"",0,1)</f>
        <v>256</v>
      </c>
      <c r="D87" t="b">
        <f t="shared" si="1"/>
        <v>1</v>
      </c>
    </row>
    <row r="88" spans="1:4" x14ac:dyDescent="0.25">
      <c r="A88" t="s">
        <v>304</v>
      </c>
      <c r="B88">
        <v>60</v>
      </c>
      <c r="C88">
        <f>_xlfn.XLOOKUP(A88&amp;".png",Tabelle1[filename],Tabelle1[right_answer],"",0,1)</f>
        <v>60</v>
      </c>
      <c r="D88" t="b">
        <f t="shared" si="1"/>
        <v>1</v>
      </c>
    </row>
    <row r="89" spans="1:4" x14ac:dyDescent="0.25">
      <c r="A89" t="s">
        <v>305</v>
      </c>
      <c r="B89">
        <v>60</v>
      </c>
      <c r="C89">
        <f>_xlfn.XLOOKUP(A89&amp;".png",Tabelle1[filename],Tabelle1[right_answer],"",0,1)</f>
        <v>60</v>
      </c>
      <c r="D89" t="b">
        <f t="shared" si="1"/>
        <v>1</v>
      </c>
    </row>
    <row r="90" spans="1:4" x14ac:dyDescent="0.25">
      <c r="A90" t="s">
        <v>306</v>
      </c>
      <c r="B90">
        <v>5</v>
      </c>
      <c r="C90">
        <f>_xlfn.XLOOKUP(A90&amp;".png",Tabelle1[filename],Tabelle1[right_answer],"",0,1)</f>
        <v>5</v>
      </c>
      <c r="D90" t="b">
        <f t="shared" si="1"/>
        <v>1</v>
      </c>
    </row>
    <row r="91" spans="1:4" x14ac:dyDescent="0.25">
      <c r="A91" t="s">
        <v>307</v>
      </c>
      <c r="B91">
        <v>5</v>
      </c>
      <c r="C91">
        <f>_xlfn.XLOOKUP(A91&amp;".png",Tabelle1[filename],Tabelle1[right_answer],"",0,1)</f>
        <v>5</v>
      </c>
      <c r="D91" t="b">
        <f t="shared" si="1"/>
        <v>1</v>
      </c>
    </row>
    <row r="92" spans="1:4" x14ac:dyDescent="0.25">
      <c r="A92" t="s">
        <v>308</v>
      </c>
      <c r="B92">
        <v>7</v>
      </c>
      <c r="C92">
        <f>_xlfn.XLOOKUP(A92&amp;".png",Tabelle1[filename],Tabelle1[right_answer],"",0,1)</f>
        <v>7</v>
      </c>
      <c r="D92" t="b">
        <f t="shared" si="1"/>
        <v>1</v>
      </c>
    </row>
    <row r="93" spans="1:4" x14ac:dyDescent="0.25">
      <c r="A93" t="s">
        <v>309</v>
      </c>
      <c r="B93">
        <v>7</v>
      </c>
      <c r="C93">
        <f>_xlfn.XLOOKUP(A93&amp;".png",Tabelle1[filename],Tabelle1[right_answer],"",0,1)</f>
        <v>7</v>
      </c>
      <c r="D93" t="b">
        <f t="shared" si="1"/>
        <v>1</v>
      </c>
    </row>
    <row r="94" spans="1:4" x14ac:dyDescent="0.25">
      <c r="A94" t="s">
        <v>310</v>
      </c>
      <c r="B94" t="s">
        <v>3</v>
      </c>
      <c r="C94" t="str">
        <f>_xlfn.XLOOKUP(A94&amp;".png",Tabelle1[filename],Tabelle1[right_answer],"",0,1)</f>
        <v>false</v>
      </c>
      <c r="D94" t="b">
        <f t="shared" si="1"/>
        <v>1</v>
      </c>
    </row>
    <row r="95" spans="1:4" x14ac:dyDescent="0.25">
      <c r="A95" t="s">
        <v>311</v>
      </c>
      <c r="B95" t="s">
        <v>3</v>
      </c>
      <c r="C95" t="str">
        <f>_xlfn.XLOOKUP(A95&amp;".png",Tabelle1[filename],Tabelle1[right_answer],"",0,1)</f>
        <v>false</v>
      </c>
      <c r="D95" t="b">
        <f t="shared" si="1"/>
        <v>1</v>
      </c>
    </row>
    <row r="96" spans="1:4" x14ac:dyDescent="0.25">
      <c r="A96" t="s">
        <v>312</v>
      </c>
      <c r="B96" t="s">
        <v>2</v>
      </c>
      <c r="C96" t="str">
        <f>_xlfn.XLOOKUP(A96&amp;".png",Tabelle1[filename],Tabelle1[right_answer],"",0,1)</f>
        <v>true</v>
      </c>
      <c r="D96" t="b">
        <f t="shared" si="1"/>
        <v>1</v>
      </c>
    </row>
    <row r="97" spans="1:4" x14ac:dyDescent="0.25">
      <c r="A97" t="s">
        <v>313</v>
      </c>
      <c r="B97" t="s">
        <v>2</v>
      </c>
      <c r="C97" t="str">
        <f>_xlfn.XLOOKUP(A97&amp;".png",Tabelle1[filename],Tabelle1[right_answer],"",0,1)</f>
        <v>true</v>
      </c>
      <c r="D97" t="b">
        <f t="shared" si="1"/>
        <v>1</v>
      </c>
    </row>
    <row r="98" spans="1:4" x14ac:dyDescent="0.25">
      <c r="A98" s="1" t="s">
        <v>364</v>
      </c>
      <c r="B98" t="s">
        <v>3</v>
      </c>
      <c r="C98" t="str">
        <f>_xlfn.XLOOKUP(A98&amp;".png",Tabelle1[filename],Tabelle1[right_answer],"",0,1)</f>
        <v>false</v>
      </c>
      <c r="D98" t="b">
        <f t="shared" si="1"/>
        <v>1</v>
      </c>
    </row>
    <row r="99" spans="1:4" x14ac:dyDescent="0.25">
      <c r="A99" s="1" t="s">
        <v>365</v>
      </c>
      <c r="B99" t="s">
        <v>3</v>
      </c>
      <c r="C99" t="str">
        <f>_xlfn.XLOOKUP(A99&amp;".png",Tabelle1[filename],Tabelle1[right_answer],"",0,1)</f>
        <v>false</v>
      </c>
      <c r="D99" t="b">
        <f t="shared" si="1"/>
        <v>1</v>
      </c>
    </row>
    <row r="100" spans="1:4" x14ac:dyDescent="0.25">
      <c r="A100" t="s">
        <v>314</v>
      </c>
      <c r="B100">
        <v>7</v>
      </c>
      <c r="C100">
        <f>_xlfn.XLOOKUP(A100&amp;".png",Tabelle1[filename],Tabelle1[right_answer],"",0,1)</f>
        <v>7</v>
      </c>
      <c r="D100" t="b">
        <f t="shared" si="1"/>
        <v>1</v>
      </c>
    </row>
    <row r="101" spans="1:4" x14ac:dyDescent="0.25">
      <c r="A101" t="s">
        <v>315</v>
      </c>
      <c r="B101">
        <v>7</v>
      </c>
      <c r="C101">
        <f>_xlfn.XLOOKUP(A101&amp;".png",Tabelle1[filename],Tabelle1[right_answer],"",0,1)</f>
        <v>7</v>
      </c>
      <c r="D101" t="b">
        <f t="shared" si="1"/>
        <v>1</v>
      </c>
    </row>
    <row r="102" spans="1:4" x14ac:dyDescent="0.25">
      <c r="A102" t="s">
        <v>316</v>
      </c>
      <c r="B102" t="s">
        <v>3</v>
      </c>
      <c r="C102" t="str">
        <f>_xlfn.XLOOKUP(A102&amp;".png",Tabelle1[filename],Tabelle1[right_answer],"",0,1)</f>
        <v>false</v>
      </c>
      <c r="D102" t="b">
        <f t="shared" si="1"/>
        <v>1</v>
      </c>
    </row>
    <row r="103" spans="1:4" x14ac:dyDescent="0.25">
      <c r="A103" t="s">
        <v>317</v>
      </c>
      <c r="B103" t="s">
        <v>3</v>
      </c>
      <c r="C103" t="str">
        <f>_xlfn.XLOOKUP(A103&amp;".png",Tabelle1[filename],Tabelle1[right_answer],"",0,1)</f>
        <v>false</v>
      </c>
      <c r="D103" t="b">
        <f t="shared" si="1"/>
        <v>1</v>
      </c>
    </row>
    <row r="104" spans="1:4" x14ac:dyDescent="0.25">
      <c r="A104" t="s">
        <v>318</v>
      </c>
      <c r="B104">
        <v>4</v>
      </c>
      <c r="C104">
        <f>_xlfn.XLOOKUP(A104&amp;".png",Tabelle1[filename],Tabelle1[right_answer],"",0,1)</f>
        <v>4</v>
      </c>
      <c r="D104" t="b">
        <f t="shared" si="1"/>
        <v>1</v>
      </c>
    </row>
    <row r="105" spans="1:4" x14ac:dyDescent="0.25">
      <c r="A105" t="s">
        <v>319</v>
      </c>
      <c r="B105">
        <v>4</v>
      </c>
      <c r="C105">
        <f>_xlfn.XLOOKUP(A105&amp;".png",Tabelle1[filename],Tabelle1[right_answer],"",0,1)</f>
        <v>4</v>
      </c>
      <c r="D105" t="b">
        <f t="shared" si="1"/>
        <v>1</v>
      </c>
    </row>
    <row r="106" spans="1:4" x14ac:dyDescent="0.25">
      <c r="A106" t="s">
        <v>320</v>
      </c>
      <c r="B106">
        <v>5</v>
      </c>
      <c r="C106">
        <f>_xlfn.XLOOKUP(A106&amp;".png",Tabelle1[filename],Tabelle1[right_answer],"",0,1)</f>
        <v>5</v>
      </c>
      <c r="D106" t="b">
        <f t="shared" si="1"/>
        <v>1</v>
      </c>
    </row>
    <row r="107" spans="1:4" x14ac:dyDescent="0.25">
      <c r="A107" t="s">
        <v>321</v>
      </c>
      <c r="B107">
        <v>5</v>
      </c>
      <c r="C107">
        <f>_xlfn.XLOOKUP(A107&amp;".png",Tabelle1[filename],Tabelle1[right_answer],"",0,1)</f>
        <v>5</v>
      </c>
      <c r="D107" t="b">
        <f t="shared" si="1"/>
        <v>1</v>
      </c>
    </row>
    <row r="108" spans="1:4" x14ac:dyDescent="0.25">
      <c r="A108" t="s">
        <v>322</v>
      </c>
      <c r="B108">
        <v>27</v>
      </c>
      <c r="C108">
        <f>_xlfn.XLOOKUP(A108&amp;".png",Tabelle1[filename],Tabelle1[right_answer],"",0,1)</f>
        <v>27</v>
      </c>
      <c r="D108" t="b">
        <f t="shared" si="1"/>
        <v>1</v>
      </c>
    </row>
    <row r="109" spans="1:4" x14ac:dyDescent="0.25">
      <c r="A109" t="s">
        <v>323</v>
      </c>
      <c r="B109">
        <v>27</v>
      </c>
      <c r="C109">
        <f>_xlfn.XLOOKUP(A109&amp;".png",Tabelle1[filename],Tabelle1[right_answer],"",0,1)</f>
        <v>27</v>
      </c>
      <c r="D109" t="b">
        <f t="shared" si="1"/>
        <v>1</v>
      </c>
    </row>
    <row r="110" spans="1:4" x14ac:dyDescent="0.25">
      <c r="A110" t="s">
        <v>324</v>
      </c>
      <c r="B110" t="s">
        <v>218</v>
      </c>
      <c r="C110" t="str">
        <f>_xlfn.XLOOKUP(A110&amp;".png",Tabelle1[filename],Tabelle1[right_answer],"",0,1)</f>
        <v>62.0</v>
      </c>
      <c r="D110" t="b">
        <f t="shared" si="1"/>
        <v>1</v>
      </c>
    </row>
    <row r="111" spans="1:4" x14ac:dyDescent="0.25">
      <c r="A111" t="s">
        <v>325</v>
      </c>
      <c r="B111" t="s">
        <v>218</v>
      </c>
      <c r="C111" t="str">
        <f>_xlfn.XLOOKUP(A111&amp;".png",Tabelle1[filename],Tabelle1[right_answer],"",0,1)</f>
        <v>62.0</v>
      </c>
      <c r="D111" t="b">
        <f t="shared" si="1"/>
        <v>1</v>
      </c>
    </row>
    <row r="112" spans="1:4" x14ac:dyDescent="0.25">
      <c r="A112" t="s">
        <v>326</v>
      </c>
      <c r="B112">
        <v>6</v>
      </c>
      <c r="C112">
        <f>_xlfn.XLOOKUP(A112&amp;".png",Tabelle1[filename],Tabelle1[right_answer],"",0,1)</f>
        <v>6</v>
      </c>
      <c r="D112" t="b">
        <f t="shared" si="1"/>
        <v>1</v>
      </c>
    </row>
    <row r="113" spans="1:4" x14ac:dyDescent="0.25">
      <c r="A113" t="s">
        <v>327</v>
      </c>
      <c r="B113">
        <v>6</v>
      </c>
      <c r="C113">
        <f>_xlfn.XLOOKUP(A113&amp;".png",Tabelle1[filename],Tabelle1[right_answer],"",0,1)</f>
        <v>6</v>
      </c>
      <c r="D113" t="b">
        <f t="shared" si="1"/>
        <v>1</v>
      </c>
    </row>
    <row r="114" spans="1:4" x14ac:dyDescent="0.25">
      <c r="A114" t="s">
        <v>328</v>
      </c>
      <c r="B114">
        <v>9</v>
      </c>
      <c r="C114">
        <f>_xlfn.XLOOKUP(A114&amp;".png",Tabelle1[filename],Tabelle1[right_answer],"",0,1)</f>
        <v>9</v>
      </c>
      <c r="D114" t="b">
        <f t="shared" si="1"/>
        <v>1</v>
      </c>
    </row>
    <row r="115" spans="1:4" x14ac:dyDescent="0.25">
      <c r="A115" t="s">
        <v>329</v>
      </c>
      <c r="B115">
        <v>9</v>
      </c>
      <c r="C115">
        <f>_xlfn.XLOOKUP(A115&amp;".png",Tabelle1[filename],Tabelle1[right_answer],"",0,1)</f>
        <v>9</v>
      </c>
      <c r="D115" t="b">
        <f t="shared" si="1"/>
        <v>1</v>
      </c>
    </row>
    <row r="116" spans="1:4" x14ac:dyDescent="0.25">
      <c r="A116" t="s">
        <v>330</v>
      </c>
      <c r="B116">
        <v>6</v>
      </c>
      <c r="C116">
        <f>_xlfn.XLOOKUP(A116&amp;".png",Tabelle1[filename],Tabelle1[right_answer],"",0,1)</f>
        <v>6</v>
      </c>
      <c r="D116" t="b">
        <f t="shared" si="1"/>
        <v>1</v>
      </c>
    </row>
    <row r="117" spans="1:4" x14ac:dyDescent="0.25">
      <c r="A117" t="s">
        <v>331</v>
      </c>
      <c r="B117">
        <v>6</v>
      </c>
      <c r="C117">
        <f>_xlfn.XLOOKUP(A117&amp;".png",Tabelle1[filename],Tabelle1[right_answer],"",0,1)</f>
        <v>6</v>
      </c>
      <c r="D117" t="b">
        <f t="shared" si="1"/>
        <v>1</v>
      </c>
    </row>
    <row r="118" spans="1:4" x14ac:dyDescent="0.25">
      <c r="A118" t="s">
        <v>332</v>
      </c>
      <c r="B118" t="s">
        <v>3</v>
      </c>
      <c r="C118" t="str">
        <f>_xlfn.XLOOKUP(A118&amp;".png",Tabelle1[filename],Tabelle1[right_answer],"",0,1)</f>
        <v>false</v>
      </c>
      <c r="D118" t="b">
        <f t="shared" si="1"/>
        <v>1</v>
      </c>
    </row>
    <row r="119" spans="1:4" x14ac:dyDescent="0.25">
      <c r="A119" t="s">
        <v>333</v>
      </c>
      <c r="B119" t="s">
        <v>3</v>
      </c>
      <c r="C119" t="str">
        <f>_xlfn.XLOOKUP(A119&amp;".png",Tabelle1[filename],Tabelle1[right_answer],"",0,1)</f>
        <v>false</v>
      </c>
      <c r="D119" t="b">
        <f t="shared" si="1"/>
        <v>1</v>
      </c>
    </row>
    <row r="120" spans="1:4" x14ac:dyDescent="0.25">
      <c r="A120" t="s">
        <v>334</v>
      </c>
      <c r="B120">
        <v>7</v>
      </c>
      <c r="C120">
        <f>_xlfn.XLOOKUP(A120&amp;".png",Tabelle1[filename],Tabelle1[right_answer],"",0,1)</f>
        <v>7</v>
      </c>
      <c r="D120" t="b">
        <f t="shared" si="1"/>
        <v>1</v>
      </c>
    </row>
    <row r="121" spans="1:4" x14ac:dyDescent="0.25">
      <c r="A121" t="s">
        <v>335</v>
      </c>
      <c r="B121">
        <v>7</v>
      </c>
      <c r="C121">
        <f>_xlfn.XLOOKUP(A121&amp;".png",Tabelle1[filename],Tabelle1[right_answer],"",0,1)</f>
        <v>7</v>
      </c>
      <c r="D121" t="b">
        <f t="shared" si="1"/>
        <v>1</v>
      </c>
    </row>
    <row r="122" spans="1:4" x14ac:dyDescent="0.25">
      <c r="A122" t="s">
        <v>336</v>
      </c>
      <c r="B122">
        <v>42</v>
      </c>
      <c r="C122">
        <f>_xlfn.XLOOKUP(A122&amp;".png",Tabelle1[filename],Tabelle1[right_answer],"",0,1)</f>
        <v>42</v>
      </c>
      <c r="D122" t="b">
        <f t="shared" si="1"/>
        <v>1</v>
      </c>
    </row>
    <row r="123" spans="1:4" x14ac:dyDescent="0.25">
      <c r="A123" t="s">
        <v>337</v>
      </c>
      <c r="B123">
        <v>42</v>
      </c>
      <c r="C123">
        <f>_xlfn.XLOOKUP(A123&amp;".png",Tabelle1[filename],Tabelle1[right_answer],"",0,1)</f>
        <v>42</v>
      </c>
      <c r="D123" t="b">
        <f t="shared" si="1"/>
        <v>1</v>
      </c>
    </row>
    <row r="124" spans="1:4" x14ac:dyDescent="0.25">
      <c r="A124" t="s">
        <v>338</v>
      </c>
      <c r="B124" t="s">
        <v>3</v>
      </c>
      <c r="C124" t="str">
        <f>_xlfn.XLOOKUP(A124&amp;".png",Tabelle1[filename],Tabelle1[right_answer],"",0,1)</f>
        <v>false</v>
      </c>
      <c r="D124" t="b">
        <f t="shared" si="1"/>
        <v>1</v>
      </c>
    </row>
    <row r="125" spans="1:4" x14ac:dyDescent="0.25">
      <c r="A125" t="s">
        <v>339</v>
      </c>
      <c r="B125" t="s">
        <v>3</v>
      </c>
      <c r="C125" t="str">
        <f>_xlfn.XLOOKUP(A125&amp;".png",Tabelle1[filename],Tabelle1[right_answer],"",0,1)</f>
        <v>false</v>
      </c>
      <c r="D125" t="b">
        <f t="shared" si="1"/>
        <v>1</v>
      </c>
    </row>
    <row r="126" spans="1:4" x14ac:dyDescent="0.25">
      <c r="A126" t="s">
        <v>340</v>
      </c>
      <c r="B126">
        <v>0</v>
      </c>
      <c r="C126">
        <f>_xlfn.XLOOKUP(A126&amp;".png",Tabelle1[filename],Tabelle1[right_answer],"",0,1)</f>
        <v>0</v>
      </c>
      <c r="D126" t="b">
        <f t="shared" si="1"/>
        <v>1</v>
      </c>
    </row>
    <row r="127" spans="1:4" x14ac:dyDescent="0.25">
      <c r="A127" t="s">
        <v>341</v>
      </c>
      <c r="B127">
        <v>0</v>
      </c>
      <c r="C127">
        <f>_xlfn.XLOOKUP(A127&amp;".png",Tabelle1[filename],Tabelle1[right_answer],"",0,1)</f>
        <v>0</v>
      </c>
      <c r="D127" t="b">
        <f t="shared" si="1"/>
        <v>1</v>
      </c>
    </row>
    <row r="128" spans="1:4" x14ac:dyDescent="0.25">
      <c r="A128" t="s">
        <v>342</v>
      </c>
      <c r="B128">
        <v>21</v>
      </c>
      <c r="C128">
        <f>_xlfn.XLOOKUP(A128&amp;".png",Tabelle1[filename],Tabelle1[right_answer],"",0,1)</f>
        <v>21</v>
      </c>
      <c r="D128" t="b">
        <f t="shared" si="1"/>
        <v>1</v>
      </c>
    </row>
    <row r="129" spans="1:4" x14ac:dyDescent="0.25">
      <c r="A129" t="s">
        <v>343</v>
      </c>
      <c r="B129">
        <v>21</v>
      </c>
      <c r="C129">
        <f>_xlfn.XLOOKUP(A129&amp;".png",Tabelle1[filename],Tabelle1[right_answer],"",0,1)</f>
        <v>21</v>
      </c>
      <c r="D129" t="b">
        <f t="shared" si="1"/>
        <v>1</v>
      </c>
    </row>
    <row r="130" spans="1:4" x14ac:dyDescent="0.25">
      <c r="A130" t="s">
        <v>344</v>
      </c>
      <c r="B130" t="s">
        <v>2</v>
      </c>
      <c r="C130" t="str">
        <f>_xlfn.XLOOKUP(A130&amp;".png",Tabelle1[filename],Tabelle1[right_answer],"",0,1)</f>
        <v>true</v>
      </c>
      <c r="D130" t="b">
        <f t="shared" si="1"/>
        <v>1</v>
      </c>
    </row>
    <row r="131" spans="1:4" x14ac:dyDescent="0.25">
      <c r="A131" t="s">
        <v>345</v>
      </c>
      <c r="B131" t="s">
        <v>2</v>
      </c>
      <c r="C131" t="str">
        <f>_xlfn.XLOOKUP(A131&amp;".png",Tabelle1[filename],Tabelle1[right_answer],"",0,1)</f>
        <v>true</v>
      </c>
      <c r="D131" t="b">
        <f t="shared" ref="D131:D145" si="2">B131=C131</f>
        <v>1</v>
      </c>
    </row>
    <row r="132" spans="1:4" x14ac:dyDescent="0.25">
      <c r="A132" t="s">
        <v>346</v>
      </c>
      <c r="B132">
        <v>40</v>
      </c>
      <c r="C132">
        <f>_xlfn.XLOOKUP(A132&amp;".png",Tabelle1[filename],Tabelle1[right_answer],"",0,1)</f>
        <v>40</v>
      </c>
      <c r="D132" t="b">
        <f t="shared" si="2"/>
        <v>1</v>
      </c>
    </row>
    <row r="133" spans="1:4" x14ac:dyDescent="0.25">
      <c r="A133" t="s">
        <v>347</v>
      </c>
      <c r="B133">
        <v>40</v>
      </c>
      <c r="C133">
        <f>_xlfn.XLOOKUP(A133&amp;".png",Tabelle1[filename],Tabelle1[right_answer],"",0,1)</f>
        <v>40</v>
      </c>
      <c r="D133" t="b">
        <f t="shared" si="2"/>
        <v>1</v>
      </c>
    </row>
    <row r="134" spans="1:4" x14ac:dyDescent="0.25">
      <c r="A134" t="s">
        <v>348</v>
      </c>
      <c r="B134">
        <v>66</v>
      </c>
      <c r="C134">
        <f>_xlfn.XLOOKUP(A134&amp;".png",Tabelle1[filename],Tabelle1[right_answer],"",0,1)</f>
        <v>66</v>
      </c>
      <c r="D134" t="b">
        <f t="shared" si="2"/>
        <v>1</v>
      </c>
    </row>
    <row r="135" spans="1:4" x14ac:dyDescent="0.25">
      <c r="A135" t="s">
        <v>349</v>
      </c>
      <c r="B135">
        <v>66</v>
      </c>
      <c r="C135">
        <f>_xlfn.XLOOKUP(A135&amp;".png",Tabelle1[filename],Tabelle1[right_answer],"",0,1)</f>
        <v>66</v>
      </c>
      <c r="D135" t="b">
        <f t="shared" si="2"/>
        <v>1</v>
      </c>
    </row>
    <row r="136" spans="1:4" x14ac:dyDescent="0.25">
      <c r="A136" t="s">
        <v>350</v>
      </c>
      <c r="B136">
        <v>50</v>
      </c>
      <c r="C136">
        <f>_xlfn.XLOOKUP(A136&amp;".png",Tabelle1[filename],Tabelle1[right_answer],"",0,1)</f>
        <v>50</v>
      </c>
      <c r="D136" t="b">
        <f t="shared" si="2"/>
        <v>1</v>
      </c>
    </row>
    <row r="137" spans="1:4" x14ac:dyDescent="0.25">
      <c r="A137" t="s">
        <v>351</v>
      </c>
      <c r="B137">
        <v>50</v>
      </c>
      <c r="C137">
        <f>_xlfn.XLOOKUP(A137&amp;".png",Tabelle1[filename],Tabelle1[right_answer],"",0,1)</f>
        <v>50</v>
      </c>
      <c r="D137" t="b">
        <f t="shared" si="2"/>
        <v>1</v>
      </c>
    </row>
    <row r="138" spans="1:4" x14ac:dyDescent="0.25">
      <c r="A138" t="s">
        <v>352</v>
      </c>
      <c r="B138">
        <v>80</v>
      </c>
      <c r="C138">
        <f>_xlfn.XLOOKUP(A138&amp;".png",Tabelle1[filename],Tabelle1[right_answer],"",0,1)</f>
        <v>80</v>
      </c>
      <c r="D138" t="b">
        <f t="shared" si="2"/>
        <v>1</v>
      </c>
    </row>
    <row r="139" spans="1:4" x14ac:dyDescent="0.25">
      <c r="A139" t="s">
        <v>353</v>
      </c>
      <c r="B139">
        <v>80</v>
      </c>
      <c r="C139">
        <f>_xlfn.XLOOKUP(A139&amp;".png",Tabelle1[filename],Tabelle1[right_answer],"",0,1)</f>
        <v>80</v>
      </c>
      <c r="D139" t="b">
        <f t="shared" si="2"/>
        <v>1</v>
      </c>
    </row>
    <row r="140" spans="1:4" x14ac:dyDescent="0.25">
      <c r="A140" s="1" t="s">
        <v>354</v>
      </c>
      <c r="B140">
        <v>8</v>
      </c>
      <c r="C140">
        <f>_xlfn.XLOOKUP(A140&amp;".png",Tabelle1[filename],Tabelle1[right_answer],"",0,1)</f>
        <v>8</v>
      </c>
      <c r="D140" t="b">
        <f t="shared" si="2"/>
        <v>1</v>
      </c>
    </row>
    <row r="141" spans="1:4" x14ac:dyDescent="0.25">
      <c r="A141" s="1" t="s">
        <v>355</v>
      </c>
      <c r="B141">
        <v>8</v>
      </c>
      <c r="C141">
        <f>_xlfn.XLOOKUP(A141&amp;".png",Tabelle1[filename],Tabelle1[right_answer],"",0,1)</f>
        <v>8</v>
      </c>
      <c r="D141" t="b">
        <f t="shared" si="2"/>
        <v>1</v>
      </c>
    </row>
    <row r="142" spans="1:4" x14ac:dyDescent="0.25">
      <c r="A142" s="1" t="s">
        <v>356</v>
      </c>
      <c r="B142" t="s">
        <v>3</v>
      </c>
      <c r="C142" t="str">
        <f>_xlfn.XLOOKUP(A142&amp;".png",Tabelle1[filename],Tabelle1[right_answer],"",0,1)</f>
        <v>false</v>
      </c>
      <c r="D142" t="b">
        <f t="shared" si="2"/>
        <v>1</v>
      </c>
    </row>
    <row r="143" spans="1:4" x14ac:dyDescent="0.25">
      <c r="A143" s="1" t="s">
        <v>357</v>
      </c>
      <c r="B143" t="s">
        <v>3</v>
      </c>
      <c r="C143" t="str">
        <f>_xlfn.XLOOKUP(A143&amp;".png",Tabelle1[filename],Tabelle1[right_answer],"",0,1)</f>
        <v>false</v>
      </c>
      <c r="D143" t="b">
        <f t="shared" si="2"/>
        <v>1</v>
      </c>
    </row>
    <row r="144" spans="1:4" x14ac:dyDescent="0.25">
      <c r="A144" s="1" t="s">
        <v>358</v>
      </c>
      <c r="B144" t="s">
        <v>3</v>
      </c>
      <c r="C144" t="str">
        <f>_xlfn.XLOOKUP(A144&amp;".png",Tabelle1[filename],Tabelle1[right_answer],"",0,1)</f>
        <v>false</v>
      </c>
      <c r="D144" t="b">
        <f t="shared" si="2"/>
        <v>1</v>
      </c>
    </row>
    <row r="145" spans="1:4" x14ac:dyDescent="0.25">
      <c r="A145" s="1" t="s">
        <v>359</v>
      </c>
      <c r="B145" t="s">
        <v>3</v>
      </c>
      <c r="C145" t="str">
        <f>_xlfn.XLOOKUP(A145&amp;".png",Tabelle1[filename],Tabelle1[right_answer],"",0,1)</f>
        <v>false</v>
      </c>
      <c r="D145" t="b">
        <f t="shared" si="2"/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6FA3-9AB5-4EF0-AF8B-D1589408535E}">
  <dimension ref="A1:W145"/>
  <sheetViews>
    <sheetView tabSelected="1" workbookViewId="0">
      <selection activeCell="I10" sqref="I10:O10"/>
    </sheetView>
  </sheetViews>
  <sheetFormatPr baseColWidth="10" defaultRowHeight="13.8" x14ac:dyDescent="0.25"/>
  <cols>
    <col min="1" max="1" width="11.19921875" style="12"/>
    <col min="2" max="2" width="13.796875" style="12" customWidth="1"/>
    <col min="3" max="3" width="24.5" style="12" customWidth="1"/>
    <col min="4" max="9" width="11.19921875" style="12"/>
    <col min="10" max="10" width="13.796875" style="12" customWidth="1"/>
    <col min="11" max="11" width="50" style="12" bestFit="1" customWidth="1"/>
    <col min="12" max="15" width="11.19921875" style="12"/>
    <col min="16" max="16" width="12.09765625" style="12" bestFit="1" customWidth="1"/>
    <col min="17" max="16384" width="11.19921875" style="12"/>
  </cols>
  <sheetData>
    <row r="1" spans="1:23" x14ac:dyDescent="0.25">
      <c r="A1" s="10" t="s">
        <v>0</v>
      </c>
      <c r="B1" s="10" t="s">
        <v>1</v>
      </c>
      <c r="C1" s="10" t="s">
        <v>154</v>
      </c>
      <c r="D1" s="10" t="s">
        <v>155</v>
      </c>
      <c r="E1" s="10" t="s">
        <v>138</v>
      </c>
      <c r="F1" s="10" t="s">
        <v>139</v>
      </c>
      <c r="G1" s="12" t="s">
        <v>420</v>
      </c>
      <c r="H1" s="16"/>
    </row>
    <row r="2" spans="1:23" x14ac:dyDescent="0.25">
      <c r="A2" s="12" t="s">
        <v>22</v>
      </c>
      <c r="B2" s="12">
        <v>0</v>
      </c>
      <c r="C2" s="17" t="s">
        <v>185</v>
      </c>
      <c r="D2" s="12">
        <v>4</v>
      </c>
      <c r="E2" s="12" t="s">
        <v>140</v>
      </c>
      <c r="F2" s="12" t="s">
        <v>142</v>
      </c>
      <c r="G2" s="12">
        <v>0</v>
      </c>
      <c r="K2" s="12" t="s">
        <v>421</v>
      </c>
      <c r="L2" s="12">
        <f>SUM(G2,G4,G6,G8,G10,G12,G14,G16,G18,G20,G22,G24,G26,G28,G30,G32,G34,G36,G38,G40,G42,G44,G46,G48)</f>
        <v>12</v>
      </c>
    </row>
    <row r="3" spans="1:23" x14ac:dyDescent="0.25">
      <c r="A3" s="12" t="s">
        <v>23</v>
      </c>
      <c r="B3" s="12">
        <v>0</v>
      </c>
      <c r="C3" s="17" t="s">
        <v>185</v>
      </c>
      <c r="D3" s="12">
        <v>4</v>
      </c>
      <c r="E3" s="12" t="s">
        <v>141</v>
      </c>
      <c r="F3" s="12" t="s">
        <v>142</v>
      </c>
      <c r="G3" s="12">
        <v>1</v>
      </c>
    </row>
    <row r="4" spans="1:23" x14ac:dyDescent="0.25">
      <c r="A4" s="12" t="s">
        <v>26</v>
      </c>
      <c r="B4" s="12" t="s">
        <v>2</v>
      </c>
      <c r="C4" s="12" t="s">
        <v>3</v>
      </c>
      <c r="D4" s="12">
        <v>5</v>
      </c>
      <c r="E4" s="12" t="s">
        <v>140</v>
      </c>
      <c r="F4" s="12" t="s">
        <v>142</v>
      </c>
      <c r="G4" s="12">
        <v>0</v>
      </c>
    </row>
    <row r="5" spans="1:23" x14ac:dyDescent="0.25">
      <c r="A5" s="12" t="s">
        <v>27</v>
      </c>
      <c r="B5" s="12" t="s">
        <v>2</v>
      </c>
      <c r="C5" s="12" t="s">
        <v>3</v>
      </c>
      <c r="D5" s="12">
        <v>5</v>
      </c>
      <c r="E5" s="12" t="s">
        <v>141</v>
      </c>
      <c r="F5" s="12" t="s">
        <v>142</v>
      </c>
      <c r="G5" s="12">
        <v>1</v>
      </c>
    </row>
    <row r="6" spans="1:23" x14ac:dyDescent="0.25">
      <c r="A6" s="12" t="s">
        <v>32</v>
      </c>
      <c r="B6" s="12" t="s">
        <v>2</v>
      </c>
      <c r="C6" s="12" t="s">
        <v>3</v>
      </c>
      <c r="D6" s="12">
        <v>6</v>
      </c>
      <c r="E6" s="12" t="s">
        <v>140</v>
      </c>
      <c r="F6" s="12" t="s">
        <v>142</v>
      </c>
      <c r="G6" s="12">
        <v>1</v>
      </c>
      <c r="I6" s="9" t="s">
        <v>0</v>
      </c>
      <c r="J6" s="9" t="s">
        <v>1</v>
      </c>
      <c r="K6" s="9" t="s">
        <v>154</v>
      </c>
      <c r="L6" s="9" t="s">
        <v>155</v>
      </c>
      <c r="M6" s="9" t="s">
        <v>138</v>
      </c>
      <c r="N6" s="9" t="s">
        <v>139</v>
      </c>
      <c r="O6" s="9" t="s">
        <v>420</v>
      </c>
      <c r="P6" s="16"/>
      <c r="Q6" s="9"/>
    </row>
    <row r="7" spans="1:23" x14ac:dyDescent="0.25">
      <c r="A7" s="12" t="s">
        <v>33</v>
      </c>
      <c r="B7" s="12" t="s">
        <v>2</v>
      </c>
      <c r="C7" s="12" t="s">
        <v>3</v>
      </c>
      <c r="D7" s="12">
        <v>6</v>
      </c>
      <c r="E7" s="12" t="s">
        <v>141</v>
      </c>
      <c r="F7" s="12" t="s">
        <v>142</v>
      </c>
      <c r="G7" s="12">
        <v>0</v>
      </c>
      <c r="I7" s="13" t="s">
        <v>40</v>
      </c>
      <c r="J7" s="13">
        <v>9</v>
      </c>
      <c r="K7" s="13" t="s">
        <v>165</v>
      </c>
      <c r="L7" s="13">
        <v>63</v>
      </c>
      <c r="M7" s="13" t="s">
        <v>140</v>
      </c>
      <c r="N7" s="13" t="s">
        <v>142</v>
      </c>
      <c r="O7" s="13">
        <v>1</v>
      </c>
      <c r="P7" s="11" cm="1">
        <f t="array" ref="P7:R7">_xlfn.XLOOKUP(Tabelle3[[#This Row],[filename]],Answer_Button_Distribution!$A$2:$A$153,Answer_Button_Distribution!$E$2:$G$153,"",0,1)</f>
        <v>5</v>
      </c>
      <c r="Q7" s="12">
        <v>7</v>
      </c>
      <c r="R7" s="12">
        <v>9</v>
      </c>
    </row>
    <row r="8" spans="1:23" x14ac:dyDescent="0.25">
      <c r="A8" s="12" t="s">
        <v>42</v>
      </c>
      <c r="B8" s="12">
        <v>5</v>
      </c>
      <c r="C8" s="12" t="s">
        <v>415</v>
      </c>
      <c r="D8" s="12">
        <v>7</v>
      </c>
      <c r="E8" s="12" t="s">
        <v>140</v>
      </c>
      <c r="F8" s="12" t="s">
        <v>142</v>
      </c>
      <c r="G8" s="12">
        <v>0</v>
      </c>
      <c r="I8" s="13" t="s">
        <v>39</v>
      </c>
      <c r="J8" s="13">
        <v>3</v>
      </c>
      <c r="K8" s="13" t="s">
        <v>196</v>
      </c>
      <c r="L8" s="13">
        <v>62</v>
      </c>
      <c r="M8" s="13" t="s">
        <v>141</v>
      </c>
      <c r="N8" s="13" t="s">
        <v>142</v>
      </c>
      <c r="O8" s="13">
        <v>1</v>
      </c>
      <c r="P8" s="11" cm="1">
        <f t="array" ref="P8:R8">_xlfn.XLOOKUP(Tabelle3[[#This Row],[filename]],Answer_Button_Distribution!$A$2:$A$153,Answer_Button_Distribution!$E$2:$G$153,"",0,1)</f>
        <v>1</v>
      </c>
      <c r="Q8" s="12">
        <v>3</v>
      </c>
      <c r="R8" s="12">
        <v>6</v>
      </c>
    </row>
    <row r="9" spans="1:23" x14ac:dyDescent="0.25">
      <c r="A9" s="12" t="s">
        <v>43</v>
      </c>
      <c r="B9" s="12">
        <v>5</v>
      </c>
      <c r="C9" s="12" t="s">
        <v>415</v>
      </c>
      <c r="D9" s="12">
        <v>7</v>
      </c>
      <c r="E9" s="12" t="s">
        <v>141</v>
      </c>
      <c r="F9" s="12" t="s">
        <v>142</v>
      </c>
      <c r="G9" s="12">
        <v>1</v>
      </c>
      <c r="I9" s="13" t="s">
        <v>16</v>
      </c>
      <c r="J9" s="13">
        <v>6</v>
      </c>
      <c r="K9" s="13" t="s">
        <v>162</v>
      </c>
      <c r="L9" s="13">
        <v>17</v>
      </c>
      <c r="M9" s="13" t="s">
        <v>140</v>
      </c>
      <c r="N9" s="13" t="s">
        <v>142</v>
      </c>
      <c r="O9" s="13">
        <v>1</v>
      </c>
      <c r="P9" s="11" cm="1">
        <f t="array" ref="P9:R9">_xlfn.XLOOKUP(Tabelle3[[#This Row],[filename]],Answer_Button_Distribution!$A$2:$A$153,Answer_Button_Distribution!$E$2:$G$153,"",0,1)</f>
        <v>5</v>
      </c>
      <c r="Q9" s="12">
        <v>6</v>
      </c>
      <c r="R9" s="12">
        <v>10</v>
      </c>
    </row>
    <row r="10" spans="1:23" x14ac:dyDescent="0.25">
      <c r="A10" s="12" t="s">
        <v>44</v>
      </c>
      <c r="B10" s="12" t="s">
        <v>2</v>
      </c>
      <c r="C10" s="12" t="s">
        <v>3</v>
      </c>
      <c r="D10" s="12">
        <v>8</v>
      </c>
      <c r="E10" s="12" t="s">
        <v>140</v>
      </c>
      <c r="F10" s="12" t="s">
        <v>142</v>
      </c>
      <c r="G10" s="12">
        <v>1</v>
      </c>
      <c r="I10" s="15" t="s">
        <v>136</v>
      </c>
      <c r="J10" s="13" t="s">
        <v>2</v>
      </c>
      <c r="K10" s="13" t="s">
        <v>3</v>
      </c>
      <c r="L10" s="15"/>
      <c r="M10" s="13" t="s">
        <v>140</v>
      </c>
      <c r="N10" s="13" t="s">
        <v>142</v>
      </c>
      <c r="O10" s="13">
        <v>1</v>
      </c>
      <c r="P10" s="11" t="str" cm="1">
        <f t="array" ref="P10:R10">_xlfn.XLOOKUP(Tabelle3[[#This Row],[filename]],Answer_Button_Distribution!$A$2:$A$153,Answer_Button_Distribution!$E$2:$G$153,"",0,1)</f>
        <v>false</v>
      </c>
      <c r="Q10" s="12" t="str">
        <v>true</v>
      </c>
      <c r="R10" s="12" t="str">
        <v>EMPTY</v>
      </c>
    </row>
    <row r="11" spans="1:23" x14ac:dyDescent="0.25">
      <c r="A11" s="12" t="s">
        <v>45</v>
      </c>
      <c r="B11" s="12" t="s">
        <v>2</v>
      </c>
      <c r="C11" s="12" t="s">
        <v>3</v>
      </c>
      <c r="D11" s="12">
        <v>8</v>
      </c>
      <c r="E11" s="12" t="s">
        <v>141</v>
      </c>
      <c r="F11" s="12" t="s">
        <v>142</v>
      </c>
      <c r="G11" s="12">
        <v>0</v>
      </c>
      <c r="I11" s="13" t="s">
        <v>43</v>
      </c>
      <c r="J11" s="13">
        <v>5</v>
      </c>
      <c r="K11" s="13" t="s">
        <v>415</v>
      </c>
      <c r="L11" s="13">
        <v>7</v>
      </c>
      <c r="M11" s="13" t="s">
        <v>141</v>
      </c>
      <c r="N11" s="13" t="s">
        <v>142</v>
      </c>
      <c r="O11" s="13">
        <v>1</v>
      </c>
      <c r="P11" s="11" cm="1">
        <f t="array" ref="P11:R11">_xlfn.XLOOKUP(Tabelle3[[#This Row],[filename]],Answer_Button_Distribution!$A$2:$A$153,Answer_Button_Distribution!$E$2:$G$153,"",0,1)</f>
        <v>5</v>
      </c>
      <c r="Q11" s="12">
        <v>6</v>
      </c>
      <c r="R11" s="12">
        <v>7</v>
      </c>
    </row>
    <row r="12" spans="1:23" x14ac:dyDescent="0.25">
      <c r="A12" s="12" t="s">
        <v>46</v>
      </c>
      <c r="B12" s="12" t="s">
        <v>3</v>
      </c>
      <c r="C12" s="12" t="s">
        <v>2</v>
      </c>
      <c r="D12" s="12">
        <v>9</v>
      </c>
      <c r="E12" s="12" t="s">
        <v>140</v>
      </c>
      <c r="F12" s="12" t="s">
        <v>142</v>
      </c>
      <c r="G12" s="12">
        <v>1</v>
      </c>
      <c r="I12" s="13" t="s">
        <v>8</v>
      </c>
      <c r="J12" s="13">
        <v>7</v>
      </c>
      <c r="K12" s="13" t="s">
        <v>410</v>
      </c>
      <c r="L12" s="13">
        <v>12</v>
      </c>
      <c r="M12" s="13" t="s">
        <v>140</v>
      </c>
      <c r="N12" s="13" t="s">
        <v>142</v>
      </c>
      <c r="O12" s="13">
        <v>1</v>
      </c>
      <c r="P12" s="11" cm="1">
        <f t="array" ref="P12:R12">_xlfn.XLOOKUP(Tabelle3[[#This Row],[filename]],Answer_Button_Distribution!$A$2:$A$153,Answer_Button_Distribution!$E$2:$G$153,"",0,1)</f>
        <v>5</v>
      </c>
      <c r="Q12" s="12">
        <v>6</v>
      </c>
      <c r="R12" s="12">
        <v>7</v>
      </c>
    </row>
    <row r="13" spans="1:23" x14ac:dyDescent="0.25">
      <c r="A13" s="12" t="s">
        <v>47</v>
      </c>
      <c r="B13" s="12" t="s">
        <v>3</v>
      </c>
      <c r="C13" s="12" t="s">
        <v>2</v>
      </c>
      <c r="D13" s="12">
        <v>9</v>
      </c>
      <c r="E13" s="12" t="s">
        <v>141</v>
      </c>
      <c r="F13" s="12" t="s">
        <v>142</v>
      </c>
      <c r="G13" s="12">
        <v>0</v>
      </c>
      <c r="I13" s="13" t="s">
        <v>27</v>
      </c>
      <c r="J13" s="13" t="s">
        <v>2</v>
      </c>
      <c r="K13" s="13" t="s">
        <v>3</v>
      </c>
      <c r="L13" s="13">
        <v>5</v>
      </c>
      <c r="M13" s="13" t="s">
        <v>141</v>
      </c>
      <c r="N13" s="13" t="s">
        <v>142</v>
      </c>
      <c r="O13" s="13">
        <v>1</v>
      </c>
      <c r="P13" s="11" t="str" cm="1">
        <f t="array" ref="P13:R13">_xlfn.XLOOKUP(Tabelle3[[#This Row],[filename]],Answer_Button_Distribution!$A$2:$A$153,Answer_Button_Distribution!$E$2:$G$153,"",0,1)</f>
        <v>false</v>
      </c>
      <c r="Q13" s="13" t="str">
        <v>true</v>
      </c>
      <c r="R13" s="13" t="str">
        <v>EMPTY</v>
      </c>
      <c r="S13" s="13"/>
      <c r="T13" s="13"/>
      <c r="U13" s="13"/>
      <c r="V13" s="13"/>
      <c r="W13" s="13"/>
    </row>
    <row r="14" spans="1:23" x14ac:dyDescent="0.25">
      <c r="A14" s="12" t="s">
        <v>4</v>
      </c>
      <c r="B14" s="12">
        <v>1</v>
      </c>
      <c r="C14" s="12" t="s">
        <v>159</v>
      </c>
      <c r="D14" s="12">
        <v>10</v>
      </c>
      <c r="E14" s="12" t="s">
        <v>140</v>
      </c>
      <c r="F14" s="12" t="s">
        <v>142</v>
      </c>
      <c r="G14" s="12">
        <v>0</v>
      </c>
      <c r="I14" s="13" t="s">
        <v>5</v>
      </c>
      <c r="J14" s="13">
        <v>1</v>
      </c>
      <c r="K14" s="13" t="s">
        <v>159</v>
      </c>
      <c r="L14" s="13">
        <v>10</v>
      </c>
      <c r="M14" s="13" t="s">
        <v>141</v>
      </c>
      <c r="N14" s="13" t="s">
        <v>142</v>
      </c>
      <c r="O14" s="13">
        <v>1</v>
      </c>
      <c r="P14" s="11" cm="1">
        <f t="array" ref="P14:R14">_xlfn.XLOOKUP(Tabelle3[[#This Row],[filename]],Answer_Button_Distribution!$A$2:$A$153,Answer_Button_Distribution!$E$2:$G$153,"",0,1)</f>
        <v>0</v>
      </c>
      <c r="Q14" s="13">
        <v>1</v>
      </c>
      <c r="R14" s="13">
        <v>2</v>
      </c>
      <c r="S14" s="13"/>
      <c r="T14" s="13"/>
      <c r="U14" s="13"/>
      <c r="V14" s="13"/>
      <c r="W14" s="13"/>
    </row>
    <row r="15" spans="1:23" x14ac:dyDescent="0.25">
      <c r="A15" s="12" t="s">
        <v>5</v>
      </c>
      <c r="B15" s="12">
        <v>1</v>
      </c>
      <c r="C15" s="12" t="s">
        <v>159</v>
      </c>
      <c r="D15" s="12">
        <v>10</v>
      </c>
      <c r="E15" s="12" t="s">
        <v>141</v>
      </c>
      <c r="F15" s="12" t="s">
        <v>142</v>
      </c>
      <c r="G15" s="12">
        <v>1</v>
      </c>
      <c r="I15" s="13" t="s">
        <v>34</v>
      </c>
      <c r="J15" s="13">
        <v>32</v>
      </c>
      <c r="K15" s="13" t="s">
        <v>414</v>
      </c>
      <c r="L15" s="13">
        <v>60</v>
      </c>
      <c r="M15" s="13" t="s">
        <v>140</v>
      </c>
      <c r="N15" s="13" t="s">
        <v>142</v>
      </c>
      <c r="O15" s="13">
        <v>1</v>
      </c>
      <c r="P15" s="11" cm="1">
        <f t="array" ref="P15:R15">_xlfn.XLOOKUP(Tabelle3[[#This Row],[filename]],Answer_Button_Distribution!$A$2:$A$153,Answer_Button_Distribution!$E$2:$G$153,"",0,1)</f>
        <v>32</v>
      </c>
      <c r="Q15" s="13">
        <v>256</v>
      </c>
      <c r="R15" s="13">
        <v>288</v>
      </c>
      <c r="S15" s="13"/>
      <c r="T15" s="13"/>
      <c r="U15" s="13"/>
      <c r="V15" s="13"/>
      <c r="W15" s="13"/>
    </row>
    <row r="16" spans="1:23" x14ac:dyDescent="0.25">
      <c r="A16" s="12" t="s">
        <v>6</v>
      </c>
      <c r="B16" s="12" t="s">
        <v>2</v>
      </c>
      <c r="C16" s="12" t="s">
        <v>3</v>
      </c>
      <c r="D16" s="12">
        <v>11</v>
      </c>
      <c r="E16" s="12" t="s">
        <v>140</v>
      </c>
      <c r="F16" s="12" t="s">
        <v>142</v>
      </c>
      <c r="G16" s="12">
        <v>0</v>
      </c>
      <c r="I16" s="13" t="s">
        <v>37</v>
      </c>
      <c r="J16" s="13">
        <v>4</v>
      </c>
      <c r="K16" s="13" t="s">
        <v>189</v>
      </c>
      <c r="L16" s="13">
        <v>61</v>
      </c>
      <c r="M16" s="13" t="s">
        <v>141</v>
      </c>
      <c r="N16" s="13" t="s">
        <v>142</v>
      </c>
      <c r="O16" s="13">
        <v>1</v>
      </c>
      <c r="P16" s="11" cm="1">
        <f t="array" ref="P16:R16">_xlfn.XLOOKUP(Tabelle3[[#This Row],[filename]],Answer_Button_Distribution!$A$2:$A$153,Answer_Button_Distribution!$E$2:$G$153,"",0,1)</f>
        <v>0</v>
      </c>
      <c r="Q16" s="15">
        <v>2</v>
      </c>
      <c r="R16" s="13">
        <v>4</v>
      </c>
      <c r="S16" s="13"/>
      <c r="T16" s="15"/>
      <c r="U16" s="13"/>
      <c r="V16" s="13"/>
      <c r="W16" s="13"/>
    </row>
    <row r="17" spans="1:23" x14ac:dyDescent="0.25">
      <c r="A17" s="12" t="s">
        <v>7</v>
      </c>
      <c r="B17" s="12" t="s">
        <v>2</v>
      </c>
      <c r="C17" s="12" t="s">
        <v>3</v>
      </c>
      <c r="D17" s="12">
        <v>11</v>
      </c>
      <c r="E17" s="12" t="s">
        <v>141</v>
      </c>
      <c r="F17" s="12" t="s">
        <v>142</v>
      </c>
      <c r="G17" s="12">
        <v>1</v>
      </c>
      <c r="I17" s="13" t="s">
        <v>13</v>
      </c>
      <c r="J17" s="13">
        <v>4</v>
      </c>
      <c r="K17" s="13" t="s">
        <v>411</v>
      </c>
      <c r="L17" s="13">
        <v>14</v>
      </c>
      <c r="M17" s="13" t="s">
        <v>141</v>
      </c>
      <c r="N17" s="13" t="s">
        <v>142</v>
      </c>
      <c r="O17" s="13">
        <v>1</v>
      </c>
      <c r="P17" s="11" cm="1">
        <f t="array" ref="P17:R17">_xlfn.XLOOKUP(Tabelle3[[#This Row],[filename]],Answer_Button_Distribution!$A$2:$A$153,Answer_Button_Distribution!$E$2:$G$153,"",0,1)</f>
        <v>1</v>
      </c>
      <c r="Q17" s="13">
        <v>2</v>
      </c>
      <c r="R17" s="13">
        <v>4</v>
      </c>
      <c r="S17" s="13"/>
      <c r="T17" s="13"/>
      <c r="U17" s="13"/>
      <c r="V17" s="13"/>
      <c r="W17" s="13"/>
    </row>
    <row r="18" spans="1:23" x14ac:dyDescent="0.25">
      <c r="A18" s="12" t="s">
        <v>8</v>
      </c>
      <c r="B18" s="12">
        <v>7</v>
      </c>
      <c r="C18" s="12" t="s">
        <v>410</v>
      </c>
      <c r="D18" s="12">
        <v>12</v>
      </c>
      <c r="E18" s="12" t="s">
        <v>140</v>
      </c>
      <c r="F18" s="12" t="s">
        <v>142</v>
      </c>
      <c r="G18" s="12">
        <v>1</v>
      </c>
      <c r="I18" s="13" t="s">
        <v>14</v>
      </c>
      <c r="J18" s="13">
        <v>7</v>
      </c>
      <c r="K18" s="13" t="s">
        <v>187</v>
      </c>
      <c r="L18" s="13">
        <v>16</v>
      </c>
      <c r="M18" s="13" t="s">
        <v>140</v>
      </c>
      <c r="N18" s="13" t="s">
        <v>142</v>
      </c>
      <c r="O18" s="13">
        <v>1</v>
      </c>
      <c r="P18" s="11" cm="1">
        <f t="array" ref="P18:R18">_xlfn.XLOOKUP(Tabelle3[[#This Row],[filename]],Answer_Button_Distribution!$A$2:$A$153,Answer_Button_Distribution!$E$2:$G$153,"",0,1)</f>
        <v>3</v>
      </c>
      <c r="Q18" s="13">
        <v>5</v>
      </c>
      <c r="R18" s="13">
        <v>7</v>
      </c>
      <c r="S18" s="13"/>
      <c r="T18" s="13"/>
      <c r="U18" s="13"/>
      <c r="V18" s="13"/>
      <c r="W18" s="13"/>
    </row>
    <row r="19" spans="1:23" x14ac:dyDescent="0.25">
      <c r="A19" s="12" t="s">
        <v>9</v>
      </c>
      <c r="B19" s="12">
        <v>7</v>
      </c>
      <c r="C19" s="12" t="s">
        <v>410</v>
      </c>
      <c r="D19" s="12">
        <v>12</v>
      </c>
      <c r="E19" s="12" t="s">
        <v>141</v>
      </c>
      <c r="F19" s="12" t="s">
        <v>142</v>
      </c>
      <c r="G19" s="12">
        <v>0</v>
      </c>
      <c r="I19" s="13" t="s">
        <v>25</v>
      </c>
      <c r="J19" s="13">
        <v>2</v>
      </c>
      <c r="K19" s="13" t="s">
        <v>160</v>
      </c>
      <c r="L19" s="13">
        <v>49</v>
      </c>
      <c r="M19" s="13" t="s">
        <v>141</v>
      </c>
      <c r="N19" s="13" t="s">
        <v>142</v>
      </c>
      <c r="O19" s="13">
        <v>1</v>
      </c>
      <c r="P19" s="11" cm="1">
        <f t="array" ref="P19:R19">_xlfn.XLOOKUP(Tabelle3[[#This Row],[filename]],Answer_Button_Distribution!$A$2:$A$153,Answer_Button_Distribution!$E$2:$G$153,"",0,1)</f>
        <v>1</v>
      </c>
      <c r="Q19" s="13">
        <v>2</v>
      </c>
      <c r="R19" s="13">
        <v>3</v>
      </c>
      <c r="S19" s="13"/>
      <c r="T19" s="13"/>
      <c r="U19" s="13"/>
      <c r="V19" s="13"/>
      <c r="W19" s="13"/>
    </row>
    <row r="20" spans="1:23" x14ac:dyDescent="0.25">
      <c r="A20" s="12" t="s">
        <v>10</v>
      </c>
      <c r="B20" s="12">
        <v>5</v>
      </c>
      <c r="C20" s="12" t="s">
        <v>186</v>
      </c>
      <c r="D20" s="12">
        <v>13</v>
      </c>
      <c r="E20" s="12" t="s">
        <v>140</v>
      </c>
      <c r="F20" s="12" t="s">
        <v>142</v>
      </c>
      <c r="G20" s="12">
        <v>0</v>
      </c>
      <c r="I20" s="13" t="s">
        <v>19</v>
      </c>
      <c r="J20" s="13">
        <v>2</v>
      </c>
      <c r="K20" s="13" t="s">
        <v>160</v>
      </c>
      <c r="L20" s="13">
        <v>18</v>
      </c>
      <c r="M20" s="13" t="s">
        <v>141</v>
      </c>
      <c r="N20" s="13" t="s">
        <v>142</v>
      </c>
      <c r="O20" s="13">
        <v>1</v>
      </c>
      <c r="P20" s="11" cm="1">
        <f t="array" ref="P20:R20">_xlfn.XLOOKUP(Tabelle3[[#This Row],[filename]],Answer_Button_Distribution!$A$2:$A$153,Answer_Button_Distribution!$E$2:$G$153,"",0,1)</f>
        <v>1</v>
      </c>
      <c r="Q20" s="13">
        <v>2</v>
      </c>
      <c r="R20" s="13">
        <v>3</v>
      </c>
      <c r="S20" s="13"/>
      <c r="T20" s="13"/>
      <c r="U20" s="13"/>
      <c r="V20" s="13"/>
      <c r="W20" s="13"/>
    </row>
    <row r="21" spans="1:23" x14ac:dyDescent="0.25">
      <c r="A21" s="12" t="s">
        <v>11</v>
      </c>
      <c r="B21" s="12">
        <v>5</v>
      </c>
      <c r="C21" s="12" t="s">
        <v>186</v>
      </c>
      <c r="D21" s="12">
        <v>13</v>
      </c>
      <c r="E21" s="12" t="s">
        <v>141</v>
      </c>
      <c r="F21" s="12" t="s">
        <v>142</v>
      </c>
      <c r="G21" s="12">
        <v>1</v>
      </c>
      <c r="I21" s="13" t="s">
        <v>210</v>
      </c>
      <c r="J21" s="13" t="s">
        <v>216</v>
      </c>
      <c r="K21" s="13" t="s">
        <v>412</v>
      </c>
      <c r="L21" s="13">
        <v>15</v>
      </c>
      <c r="M21" s="13" t="s">
        <v>140</v>
      </c>
      <c r="N21" s="13" t="s">
        <v>142</v>
      </c>
      <c r="O21" s="13">
        <v>1</v>
      </c>
      <c r="P21" s="11" t="str" cm="1">
        <f t="array" ref="P21:R21">_xlfn.XLOOKUP(Tabelle3[[#This Row],[filename]],Answer_Button_Distribution!$A$2:$A$153,Answer_Button_Distribution!$E$2:$G$153,"",0,1)</f>
        <v>4.5</v>
      </c>
      <c r="Q21" s="13" t="str">
        <v>8.0</v>
      </c>
      <c r="R21" s="13" t="str">
        <v>9.0</v>
      </c>
      <c r="S21" s="13"/>
      <c r="T21" s="13"/>
      <c r="U21" s="13"/>
      <c r="V21" s="13"/>
      <c r="W21" s="13"/>
    </row>
    <row r="22" spans="1:23" x14ac:dyDescent="0.25">
      <c r="A22" s="12" t="s">
        <v>12</v>
      </c>
      <c r="B22" s="12">
        <v>4</v>
      </c>
      <c r="C22" s="12" t="s">
        <v>411</v>
      </c>
      <c r="D22" s="12">
        <v>14</v>
      </c>
      <c r="E22" s="12" t="s">
        <v>140</v>
      </c>
      <c r="F22" s="12" t="s">
        <v>142</v>
      </c>
      <c r="G22" s="12">
        <v>0</v>
      </c>
      <c r="I22" s="13" t="s">
        <v>32</v>
      </c>
      <c r="J22" s="13" t="s">
        <v>2</v>
      </c>
      <c r="K22" s="13" t="s">
        <v>3</v>
      </c>
      <c r="L22" s="13">
        <v>6</v>
      </c>
      <c r="M22" s="13" t="s">
        <v>140</v>
      </c>
      <c r="N22" s="13" t="s">
        <v>142</v>
      </c>
      <c r="O22" s="13">
        <v>1</v>
      </c>
      <c r="P22" s="11" t="str" cm="1">
        <f t="array" ref="P22:R22">_xlfn.XLOOKUP(Tabelle3[[#This Row],[filename]],Answer_Button_Distribution!$A$2:$A$153,Answer_Button_Distribution!$E$2:$G$153,"",0,1)</f>
        <v>false</v>
      </c>
      <c r="Q22" s="13" t="str">
        <v>true</v>
      </c>
      <c r="R22" s="13" t="str">
        <v>EMPTY</v>
      </c>
      <c r="S22" s="13"/>
      <c r="T22" s="13"/>
      <c r="U22" s="13"/>
      <c r="V22" s="13"/>
      <c r="W22" s="13"/>
    </row>
    <row r="23" spans="1:23" x14ac:dyDescent="0.25">
      <c r="A23" s="12" t="s">
        <v>13</v>
      </c>
      <c r="B23" s="12">
        <v>4</v>
      </c>
      <c r="C23" s="12" t="s">
        <v>411</v>
      </c>
      <c r="D23" s="12">
        <v>14</v>
      </c>
      <c r="E23" s="12" t="s">
        <v>141</v>
      </c>
      <c r="F23" s="12" t="s">
        <v>142</v>
      </c>
      <c r="G23" s="12">
        <v>1</v>
      </c>
      <c r="I23" s="13" t="s">
        <v>28</v>
      </c>
      <c r="J23" s="13">
        <v>0</v>
      </c>
      <c r="K23" s="13" t="s">
        <v>188</v>
      </c>
      <c r="L23" s="13">
        <v>54</v>
      </c>
      <c r="M23" s="13" t="s">
        <v>140</v>
      </c>
      <c r="N23" s="13" t="s">
        <v>142</v>
      </c>
      <c r="O23" s="13">
        <v>1</v>
      </c>
      <c r="P23" s="11" cm="1">
        <f t="array" ref="P23:R23">_xlfn.XLOOKUP(Tabelle3[[#This Row],[filename]],Answer_Button_Distribution!$A$2:$A$153,Answer_Button_Distribution!$E$2:$G$153,"",0,1)</f>
        <v>0</v>
      </c>
      <c r="Q23" s="13">
        <v>12</v>
      </c>
      <c r="R23" s="13">
        <v>15</v>
      </c>
      <c r="S23" s="13"/>
      <c r="T23" s="13"/>
      <c r="U23" s="13"/>
      <c r="V23" s="13"/>
      <c r="W23" s="13"/>
    </row>
    <row r="24" spans="1:23" x14ac:dyDescent="0.25">
      <c r="A24" s="12" t="s">
        <v>210</v>
      </c>
      <c r="B24" s="12" t="s">
        <v>216</v>
      </c>
      <c r="C24" s="12" t="s">
        <v>412</v>
      </c>
      <c r="D24" s="12">
        <v>15</v>
      </c>
      <c r="E24" s="12" t="s">
        <v>140</v>
      </c>
      <c r="F24" s="12" t="s">
        <v>142</v>
      </c>
      <c r="G24" s="12">
        <v>1</v>
      </c>
      <c r="I24" s="13" t="s">
        <v>23</v>
      </c>
      <c r="J24" s="13">
        <v>0</v>
      </c>
      <c r="K24" s="15" t="s">
        <v>185</v>
      </c>
      <c r="L24" s="13">
        <v>4</v>
      </c>
      <c r="M24" s="13" t="s">
        <v>141</v>
      </c>
      <c r="N24" s="13" t="s">
        <v>142</v>
      </c>
      <c r="O24" s="13">
        <v>1</v>
      </c>
      <c r="P24" s="11" cm="1">
        <f t="array" ref="P24:R24">_xlfn.XLOOKUP(Tabelle3[[#This Row],[filename]],Answer_Button_Distribution!$A$2:$A$153,Answer_Button_Distribution!$E$2:$G$153,"",0,1)</f>
        <v>-2</v>
      </c>
      <c r="Q24" s="13">
        <v>-1</v>
      </c>
      <c r="R24" s="13">
        <v>0</v>
      </c>
      <c r="S24" s="13"/>
      <c r="T24" s="13"/>
      <c r="U24" s="13"/>
      <c r="V24" s="13"/>
      <c r="W24" s="13"/>
    </row>
    <row r="25" spans="1:23" x14ac:dyDescent="0.25">
      <c r="A25" s="12" t="s">
        <v>213</v>
      </c>
      <c r="B25" s="12" t="s">
        <v>216</v>
      </c>
      <c r="C25" s="12" t="s">
        <v>412</v>
      </c>
      <c r="D25" s="12">
        <v>15</v>
      </c>
      <c r="E25" s="12" t="s">
        <v>141</v>
      </c>
      <c r="F25" s="12" t="s">
        <v>142</v>
      </c>
      <c r="G25" s="12">
        <v>0</v>
      </c>
      <c r="I25" s="13" t="s">
        <v>11</v>
      </c>
      <c r="J25" s="13">
        <v>5</v>
      </c>
      <c r="K25" s="13" t="s">
        <v>186</v>
      </c>
      <c r="L25" s="13">
        <v>13</v>
      </c>
      <c r="M25" s="13" t="s">
        <v>141</v>
      </c>
      <c r="N25" s="13" t="s">
        <v>142</v>
      </c>
      <c r="O25" s="13">
        <v>1</v>
      </c>
      <c r="P25" s="11" cm="1">
        <f t="array" ref="P25:R25">_xlfn.XLOOKUP(Tabelle3[[#This Row],[filename]],Answer_Button_Distribution!$A$2:$A$153,Answer_Button_Distribution!$E$2:$G$153,"",0,1)</f>
        <v>3</v>
      </c>
      <c r="Q25" s="13">
        <v>5</v>
      </c>
      <c r="R25" s="13">
        <v>6</v>
      </c>
      <c r="S25" s="13"/>
      <c r="T25" s="13"/>
      <c r="U25" s="13"/>
      <c r="V25" s="13"/>
      <c r="W25" s="13"/>
    </row>
    <row r="26" spans="1:23" x14ac:dyDescent="0.25">
      <c r="A26" s="12" t="s">
        <v>14</v>
      </c>
      <c r="B26" s="12">
        <v>7</v>
      </c>
      <c r="C26" s="12" t="s">
        <v>187</v>
      </c>
      <c r="D26" s="12">
        <v>16</v>
      </c>
      <c r="E26" s="12" t="s">
        <v>140</v>
      </c>
      <c r="F26" s="12" t="s">
        <v>142</v>
      </c>
      <c r="G26" s="12">
        <v>1</v>
      </c>
      <c r="I26" s="13" t="s">
        <v>44</v>
      </c>
      <c r="J26" s="13" t="s">
        <v>2</v>
      </c>
      <c r="K26" s="13" t="s">
        <v>3</v>
      </c>
      <c r="L26" s="13">
        <v>8</v>
      </c>
      <c r="M26" s="13" t="s">
        <v>140</v>
      </c>
      <c r="N26" s="13" t="s">
        <v>142</v>
      </c>
      <c r="O26" s="13">
        <v>1</v>
      </c>
      <c r="P26" s="11" t="str" cm="1">
        <f t="array" ref="P26:R26">_xlfn.XLOOKUP(Tabelle3[[#This Row],[filename]],Answer_Button_Distribution!$A$2:$A$153,Answer_Button_Distribution!$E$2:$G$153,"",0,1)</f>
        <v>false</v>
      </c>
      <c r="Q26" s="13" t="str">
        <v>true</v>
      </c>
      <c r="R26" s="13" t="str">
        <v>EMPTY</v>
      </c>
      <c r="S26" s="13"/>
      <c r="T26" s="13"/>
      <c r="U26" s="13"/>
      <c r="V26" s="13"/>
      <c r="W26" s="13"/>
    </row>
    <row r="27" spans="1:23" x14ac:dyDescent="0.25">
      <c r="A27" s="12" t="s">
        <v>15</v>
      </c>
      <c r="B27" s="12">
        <v>7</v>
      </c>
      <c r="C27" s="12" t="s">
        <v>187</v>
      </c>
      <c r="D27" s="12">
        <v>16</v>
      </c>
      <c r="E27" s="12" t="s">
        <v>141</v>
      </c>
      <c r="F27" s="12" t="s">
        <v>142</v>
      </c>
      <c r="G27" s="12">
        <v>0</v>
      </c>
      <c r="I27" s="13" t="s">
        <v>7</v>
      </c>
      <c r="J27" s="13" t="s">
        <v>2</v>
      </c>
      <c r="K27" s="13" t="s">
        <v>3</v>
      </c>
      <c r="L27" s="13">
        <v>11</v>
      </c>
      <c r="M27" s="13" t="s">
        <v>141</v>
      </c>
      <c r="N27" s="13" t="s">
        <v>142</v>
      </c>
      <c r="O27" s="13">
        <v>1</v>
      </c>
      <c r="P27" s="11" t="str" cm="1">
        <f t="array" ref="P27:R27">_xlfn.XLOOKUP(Tabelle3[[#This Row],[filename]],Answer_Button_Distribution!$A$2:$A$153,Answer_Button_Distribution!$E$2:$G$153,"",0,1)</f>
        <v>false</v>
      </c>
      <c r="Q27" s="13" t="str">
        <v>true</v>
      </c>
      <c r="R27" s="13" t="str">
        <v>EMPTY</v>
      </c>
      <c r="S27" s="13"/>
      <c r="T27" s="13"/>
      <c r="U27" s="13"/>
      <c r="V27" s="13"/>
      <c r="W27" s="13"/>
    </row>
    <row r="28" spans="1:23" x14ac:dyDescent="0.25">
      <c r="A28" s="12" t="s">
        <v>16</v>
      </c>
      <c r="B28" s="12">
        <v>6</v>
      </c>
      <c r="C28" s="12" t="s">
        <v>162</v>
      </c>
      <c r="D28" s="12">
        <v>17</v>
      </c>
      <c r="E28" s="12" t="s">
        <v>140</v>
      </c>
      <c r="F28" s="12" t="s">
        <v>142</v>
      </c>
      <c r="G28" s="12">
        <v>1</v>
      </c>
      <c r="I28" s="13" t="s">
        <v>30</v>
      </c>
      <c r="J28" s="13">
        <v>8</v>
      </c>
      <c r="K28" s="13" t="s">
        <v>161</v>
      </c>
      <c r="L28" s="13">
        <v>57</v>
      </c>
      <c r="M28" s="13" t="s">
        <v>140</v>
      </c>
      <c r="N28" s="13" t="s">
        <v>142</v>
      </c>
      <c r="O28" s="13">
        <v>1</v>
      </c>
      <c r="P28" s="11" cm="1">
        <f t="array" ref="P28:R28">_xlfn.XLOOKUP(Tabelle3[[#This Row],[filename]],Answer_Button_Distribution!$A$2:$A$153,Answer_Button_Distribution!$E$2:$G$153,"",0,1)</f>
        <v>5</v>
      </c>
      <c r="Q28" s="13">
        <v>8</v>
      </c>
      <c r="R28" s="13">
        <v>10</v>
      </c>
      <c r="S28" s="13"/>
      <c r="T28" s="13"/>
      <c r="U28" s="13"/>
      <c r="V28" s="13"/>
      <c r="W28" s="13"/>
    </row>
    <row r="29" spans="1:23" x14ac:dyDescent="0.25">
      <c r="A29" s="12" t="s">
        <v>17</v>
      </c>
      <c r="B29" s="12">
        <v>6</v>
      </c>
      <c r="C29" s="12" t="s">
        <v>162</v>
      </c>
      <c r="D29" s="12">
        <v>17</v>
      </c>
      <c r="E29" s="12" t="s">
        <v>141</v>
      </c>
      <c r="F29" s="12" t="s">
        <v>142</v>
      </c>
      <c r="G29" s="12">
        <v>0</v>
      </c>
      <c r="I29" s="13" t="s">
        <v>21</v>
      </c>
      <c r="J29" s="13" t="s">
        <v>2</v>
      </c>
      <c r="K29" s="13" t="s">
        <v>3</v>
      </c>
      <c r="L29" s="13">
        <v>30</v>
      </c>
      <c r="M29" s="13" t="s">
        <v>141</v>
      </c>
      <c r="N29" s="13" t="s">
        <v>142</v>
      </c>
      <c r="O29" s="13">
        <v>1</v>
      </c>
      <c r="P29" s="11" t="str" cm="1">
        <f t="array" ref="P29:R29">_xlfn.XLOOKUP(Tabelle3[[#This Row],[filename]],Answer_Button_Distribution!$A$2:$A$153,Answer_Button_Distribution!$E$2:$G$153,"",0,1)</f>
        <v>false</v>
      </c>
      <c r="Q29" s="13" t="str">
        <v>true</v>
      </c>
      <c r="R29" s="13" t="str">
        <v>EMPTY</v>
      </c>
      <c r="S29" s="13"/>
      <c r="T29" s="13"/>
      <c r="U29" s="13"/>
      <c r="V29" s="13"/>
      <c r="W29" s="13"/>
    </row>
    <row r="30" spans="1:23" x14ac:dyDescent="0.25">
      <c r="A30" s="12" t="s">
        <v>18</v>
      </c>
      <c r="B30" s="12">
        <v>2</v>
      </c>
      <c r="C30" s="12" t="s">
        <v>160</v>
      </c>
      <c r="D30" s="12">
        <v>18</v>
      </c>
      <c r="E30" s="12" t="s">
        <v>140</v>
      </c>
      <c r="F30" s="12" t="s">
        <v>142</v>
      </c>
      <c r="G30" s="12">
        <v>0</v>
      </c>
      <c r="I30" s="13" t="s">
        <v>46</v>
      </c>
      <c r="J30" s="13" t="s">
        <v>3</v>
      </c>
      <c r="K30" s="13" t="s">
        <v>2</v>
      </c>
      <c r="L30" s="13">
        <v>9</v>
      </c>
      <c r="M30" s="13" t="s">
        <v>140</v>
      </c>
      <c r="N30" s="13" t="s">
        <v>142</v>
      </c>
      <c r="O30" s="13">
        <v>1</v>
      </c>
      <c r="P30" s="11" t="str" cm="1">
        <f t="array" ref="P30:R30">_xlfn.XLOOKUP(Tabelle3[[#This Row],[filename]],Answer_Button_Distribution!$A$2:$A$153,Answer_Button_Distribution!$E$2:$G$153,"",0,1)</f>
        <v>false</v>
      </c>
      <c r="Q30" s="13" t="str">
        <v>true</v>
      </c>
      <c r="R30" s="13" t="str">
        <v>EMPTY</v>
      </c>
      <c r="S30" s="15"/>
      <c r="T30" s="13"/>
      <c r="U30" s="13"/>
      <c r="V30" s="13"/>
      <c r="W30" s="13"/>
    </row>
    <row r="31" spans="1:23" x14ac:dyDescent="0.25">
      <c r="A31" s="12" t="s">
        <v>19</v>
      </c>
      <c r="B31" s="12">
        <v>2</v>
      </c>
      <c r="C31" s="12" t="s">
        <v>160</v>
      </c>
      <c r="D31" s="12">
        <v>18</v>
      </c>
      <c r="E31" s="12" t="s">
        <v>141</v>
      </c>
      <c r="F31" s="12" t="s">
        <v>142</v>
      </c>
      <c r="G31" s="12">
        <v>1</v>
      </c>
      <c r="I31" s="13" t="s">
        <v>71</v>
      </c>
      <c r="J31" s="13" t="s">
        <v>2</v>
      </c>
      <c r="K31" s="13" t="s">
        <v>3</v>
      </c>
      <c r="L31" s="13">
        <v>5</v>
      </c>
      <c r="M31" s="13" t="s">
        <v>141</v>
      </c>
      <c r="N31" s="13" t="s">
        <v>143</v>
      </c>
      <c r="O31" s="13">
        <v>1</v>
      </c>
      <c r="P31" s="11" t="str" cm="1">
        <f t="array" ref="P31:R31">_xlfn.XLOOKUP(Tabelle3[[#This Row],[filename]],Answer_Button_Distribution!$A$2:$A$153,Answer_Button_Distribution!$E$2:$G$153,"",0,1)</f>
        <v>false</v>
      </c>
      <c r="Q31" s="13" t="str">
        <v>true</v>
      </c>
      <c r="R31" s="13" t="str">
        <v>EMPTY</v>
      </c>
      <c r="S31" s="13"/>
      <c r="T31" s="13"/>
      <c r="U31" s="13"/>
      <c r="V31" s="13"/>
      <c r="W31" s="13"/>
    </row>
    <row r="32" spans="1:23" x14ac:dyDescent="0.25">
      <c r="A32" s="12" t="s">
        <v>20</v>
      </c>
      <c r="B32" s="12" t="s">
        <v>2</v>
      </c>
      <c r="C32" s="12" t="s">
        <v>3</v>
      </c>
      <c r="D32" s="12">
        <v>30</v>
      </c>
      <c r="E32" s="12" t="s">
        <v>140</v>
      </c>
      <c r="F32" s="12" t="s">
        <v>142</v>
      </c>
      <c r="G32" s="12">
        <v>0</v>
      </c>
      <c r="I32" s="13" t="s">
        <v>58</v>
      </c>
      <c r="J32" s="13">
        <v>5</v>
      </c>
      <c r="K32" s="13" t="s">
        <v>168</v>
      </c>
      <c r="L32" s="13">
        <v>16</v>
      </c>
      <c r="M32" s="13" t="s">
        <v>140</v>
      </c>
      <c r="N32" s="13" t="s">
        <v>143</v>
      </c>
      <c r="O32" s="13">
        <v>1</v>
      </c>
      <c r="P32" s="11" cm="1">
        <f t="array" ref="P32:R32">_xlfn.XLOOKUP(Tabelle3[[#This Row],[filename]],Answer_Button_Distribution!$A$2:$A$153,Answer_Button_Distribution!$E$2:$G$153,"",0,1)</f>
        <v>4</v>
      </c>
      <c r="Q32" s="13">
        <v>5</v>
      </c>
      <c r="R32" s="13">
        <v>6</v>
      </c>
      <c r="S32" s="13"/>
      <c r="T32" s="13"/>
      <c r="U32" s="13"/>
      <c r="V32" s="13"/>
      <c r="W32" s="13"/>
    </row>
    <row r="33" spans="1:23" x14ac:dyDescent="0.25">
      <c r="A33" s="12" t="s">
        <v>21</v>
      </c>
      <c r="B33" s="12" t="s">
        <v>2</v>
      </c>
      <c r="C33" s="12" t="s">
        <v>3</v>
      </c>
      <c r="D33" s="12">
        <v>30</v>
      </c>
      <c r="E33" s="12" t="s">
        <v>141</v>
      </c>
      <c r="F33" s="12" t="s">
        <v>142</v>
      </c>
      <c r="G33" s="12">
        <v>1</v>
      </c>
      <c r="I33" s="13" t="s">
        <v>81</v>
      </c>
      <c r="J33" s="13">
        <v>256</v>
      </c>
      <c r="K33" s="13" t="s">
        <v>172</v>
      </c>
      <c r="L33" s="13">
        <v>61</v>
      </c>
      <c r="M33" s="13" t="s">
        <v>141</v>
      </c>
      <c r="N33" s="13" t="s">
        <v>143</v>
      </c>
      <c r="O33" s="13">
        <v>1</v>
      </c>
      <c r="P33" s="11" cm="1">
        <f t="array" ref="P33:R33">_xlfn.XLOOKUP(Tabelle3[[#This Row],[filename]],Answer_Button_Distribution!$A$2:$A$153,Answer_Button_Distribution!$E$2:$G$153,"",0,1)</f>
        <v>42</v>
      </c>
      <c r="Q33" s="13">
        <v>128</v>
      </c>
      <c r="R33" s="13">
        <v>256</v>
      </c>
      <c r="S33" s="13"/>
      <c r="T33" s="13"/>
      <c r="U33" s="13"/>
      <c r="V33" s="13"/>
      <c r="W33" s="13"/>
    </row>
    <row r="34" spans="1:23" x14ac:dyDescent="0.25">
      <c r="A34" s="12" t="s">
        <v>24</v>
      </c>
      <c r="B34" s="12">
        <v>2</v>
      </c>
      <c r="C34" s="12" t="s">
        <v>160</v>
      </c>
      <c r="D34" s="12">
        <v>49</v>
      </c>
      <c r="E34" s="12" t="s">
        <v>140</v>
      </c>
      <c r="F34" s="12" t="s">
        <v>142</v>
      </c>
      <c r="G34" s="12">
        <v>0</v>
      </c>
      <c r="I34" s="13" t="s">
        <v>63</v>
      </c>
      <c r="J34" s="13">
        <v>2</v>
      </c>
      <c r="K34" s="13" t="s">
        <v>193</v>
      </c>
      <c r="L34" s="13">
        <v>18</v>
      </c>
      <c r="M34" s="13" t="s">
        <v>141</v>
      </c>
      <c r="N34" s="13" t="s">
        <v>143</v>
      </c>
      <c r="O34" s="13">
        <v>1</v>
      </c>
      <c r="P34" s="11" cm="1">
        <f t="array" ref="P34:R34">_xlfn.XLOOKUP(Tabelle3[[#This Row],[filename]],Answer_Button_Distribution!$A$2:$A$153,Answer_Button_Distribution!$E$2:$G$153,"",0,1)</f>
        <v>2</v>
      </c>
      <c r="Q34" s="13">
        <v>5</v>
      </c>
      <c r="R34" s="13">
        <v>7</v>
      </c>
      <c r="S34" s="13"/>
      <c r="T34" s="13"/>
      <c r="U34" s="13"/>
      <c r="V34" s="13"/>
      <c r="W34" s="13"/>
    </row>
    <row r="35" spans="1:23" x14ac:dyDescent="0.25">
      <c r="A35" s="12" t="s">
        <v>25</v>
      </c>
      <c r="B35" s="12">
        <v>2</v>
      </c>
      <c r="C35" s="12" t="s">
        <v>160</v>
      </c>
      <c r="D35" s="12">
        <v>49</v>
      </c>
      <c r="E35" s="12" t="s">
        <v>141</v>
      </c>
      <c r="F35" s="12" t="s">
        <v>142</v>
      </c>
      <c r="G35" s="12">
        <v>1</v>
      </c>
      <c r="I35" s="15" t="s">
        <v>145</v>
      </c>
      <c r="J35" s="13" t="s">
        <v>3</v>
      </c>
      <c r="K35" s="13" t="s">
        <v>2</v>
      </c>
      <c r="L35" s="13"/>
      <c r="M35" s="13" t="s">
        <v>140</v>
      </c>
      <c r="N35" s="13" t="s">
        <v>143</v>
      </c>
      <c r="O35" s="13">
        <v>1</v>
      </c>
      <c r="P35" s="11" t="str" cm="1">
        <f t="array" ref="P35:R35">_xlfn.XLOOKUP(Tabelle3[[#This Row],[filename]],Answer_Button_Distribution!$A$2:$A$153,Answer_Button_Distribution!$E$2:$G$153,"",0,1)</f>
        <v>false</v>
      </c>
      <c r="Q35" s="13" t="str">
        <v>true</v>
      </c>
      <c r="R35" s="13" t="str">
        <v>EMPTY</v>
      </c>
      <c r="S35" s="13"/>
      <c r="T35" s="13"/>
      <c r="U35" s="13"/>
      <c r="V35" s="13"/>
      <c r="W35" s="13"/>
    </row>
    <row r="36" spans="1:23" x14ac:dyDescent="0.25">
      <c r="A36" s="12" t="s">
        <v>28</v>
      </c>
      <c r="B36" s="12">
        <v>0</v>
      </c>
      <c r="C36" s="12" t="s">
        <v>188</v>
      </c>
      <c r="D36" s="12">
        <v>54</v>
      </c>
      <c r="E36" s="12" t="s">
        <v>140</v>
      </c>
      <c r="F36" s="12" t="s">
        <v>142</v>
      </c>
      <c r="G36" s="12">
        <v>1</v>
      </c>
      <c r="I36" s="13" t="s">
        <v>74</v>
      </c>
      <c r="J36" s="13">
        <v>10</v>
      </c>
      <c r="K36" s="13" t="s">
        <v>194</v>
      </c>
      <c r="L36" s="13">
        <v>57</v>
      </c>
      <c r="M36" s="13" t="s">
        <v>140</v>
      </c>
      <c r="N36" s="13" t="s">
        <v>143</v>
      </c>
      <c r="O36" s="13">
        <v>1</v>
      </c>
      <c r="P36" s="11" cm="1">
        <f t="array" ref="P36:R36">_xlfn.XLOOKUP(Tabelle3[[#This Row],[filename]],Answer_Button_Distribution!$A$2:$A$153,Answer_Button_Distribution!$E$2:$G$153,"",0,1)</f>
        <v>6</v>
      </c>
      <c r="Q36" s="13">
        <v>10</v>
      </c>
      <c r="R36" s="13">
        <v>13</v>
      </c>
      <c r="S36" s="13"/>
      <c r="T36" s="13"/>
      <c r="U36" s="13"/>
      <c r="V36" s="13"/>
      <c r="W36" s="13"/>
    </row>
    <row r="37" spans="1:23" x14ac:dyDescent="0.25">
      <c r="A37" s="12" t="s">
        <v>29</v>
      </c>
      <c r="B37" s="12">
        <v>0</v>
      </c>
      <c r="C37" s="12" t="s">
        <v>188</v>
      </c>
      <c r="D37" s="12">
        <v>54</v>
      </c>
      <c r="E37" s="12" t="s">
        <v>141</v>
      </c>
      <c r="F37" s="12" t="s">
        <v>142</v>
      </c>
      <c r="G37" s="12">
        <v>0</v>
      </c>
      <c r="I37" s="13" t="s">
        <v>83</v>
      </c>
      <c r="J37" s="13">
        <v>60</v>
      </c>
      <c r="K37" s="13" t="s">
        <v>173</v>
      </c>
      <c r="L37" s="13">
        <v>62</v>
      </c>
      <c r="M37" s="13" t="s">
        <v>141</v>
      </c>
      <c r="N37" s="13" t="s">
        <v>143</v>
      </c>
      <c r="O37" s="13">
        <v>1</v>
      </c>
      <c r="P37" s="11" cm="1">
        <f t="array" ref="P37:R37">_xlfn.XLOOKUP(Tabelle3[[#This Row],[filename]],Answer_Button_Distribution!$A$2:$A$153,Answer_Button_Distribution!$E$2:$G$153,"",0,1)</f>
        <v>30</v>
      </c>
      <c r="Q37" s="13">
        <v>60</v>
      </c>
      <c r="R37" s="13">
        <v>84</v>
      </c>
      <c r="S37" s="13"/>
      <c r="T37" s="13"/>
      <c r="U37" s="13"/>
      <c r="V37" s="13"/>
      <c r="W37" s="13"/>
    </row>
    <row r="38" spans="1:23" x14ac:dyDescent="0.25">
      <c r="A38" s="12" t="s">
        <v>30</v>
      </c>
      <c r="B38" s="12">
        <v>8</v>
      </c>
      <c r="C38" s="12" t="s">
        <v>161</v>
      </c>
      <c r="D38" s="12">
        <v>57</v>
      </c>
      <c r="E38" s="12" t="s">
        <v>140</v>
      </c>
      <c r="F38" s="12" t="s">
        <v>142</v>
      </c>
      <c r="G38" s="12">
        <v>1</v>
      </c>
      <c r="I38" s="13" t="s">
        <v>211</v>
      </c>
      <c r="J38" s="13" t="s">
        <v>217</v>
      </c>
      <c r="K38" s="13" t="s">
        <v>219</v>
      </c>
      <c r="L38" s="13">
        <v>15</v>
      </c>
      <c r="M38" s="13" t="s">
        <v>140</v>
      </c>
      <c r="N38" s="13" t="s">
        <v>143</v>
      </c>
      <c r="O38" s="13">
        <v>1</v>
      </c>
      <c r="P38" s="11" t="str" cm="1">
        <f t="array" ref="P38:R38">_xlfn.XLOOKUP(Tabelle3[[#This Row],[filename]],Answer_Button_Distribution!$A$2:$A$153,Answer_Button_Distribution!$E$2:$G$153,"",0,1)</f>
        <v>12.0</v>
      </c>
      <c r="Q38" s="13" t="str">
        <v>13.0</v>
      </c>
      <c r="R38" s="13" t="str">
        <v>14.0</v>
      </c>
      <c r="S38" s="13"/>
      <c r="T38" s="13"/>
      <c r="U38" s="13"/>
      <c r="V38" s="13"/>
      <c r="W38" s="13"/>
    </row>
    <row r="39" spans="1:23" x14ac:dyDescent="0.25">
      <c r="A39" s="12" t="s">
        <v>31</v>
      </c>
      <c r="B39" s="12">
        <v>8</v>
      </c>
      <c r="C39" s="12" t="s">
        <v>161</v>
      </c>
      <c r="D39" s="12">
        <v>57</v>
      </c>
      <c r="E39" s="12" t="s">
        <v>141</v>
      </c>
      <c r="F39" s="12" t="s">
        <v>142</v>
      </c>
      <c r="G39" s="12">
        <v>0</v>
      </c>
      <c r="I39" s="13" t="s">
        <v>72</v>
      </c>
      <c r="J39" s="13">
        <v>9</v>
      </c>
      <c r="K39" s="13" t="s">
        <v>170</v>
      </c>
      <c r="L39" s="13">
        <v>54</v>
      </c>
      <c r="M39" s="13" t="s">
        <v>140</v>
      </c>
      <c r="N39" s="13" t="s">
        <v>143</v>
      </c>
      <c r="O39" s="13">
        <v>1</v>
      </c>
      <c r="P39" s="11" cm="1">
        <f t="array" ref="P39:R39">_xlfn.XLOOKUP(Tabelle3[[#This Row],[filename]],Answer_Button_Distribution!$A$2:$A$153,Answer_Button_Distribution!$E$2:$G$153,"",0,1)</f>
        <v>9</v>
      </c>
      <c r="Q39" s="13">
        <v>15</v>
      </c>
      <c r="R39" s="13">
        <v>24</v>
      </c>
      <c r="S39" s="13"/>
      <c r="T39" s="13"/>
      <c r="U39" s="13"/>
      <c r="V39" s="13"/>
      <c r="W39" s="13"/>
    </row>
    <row r="40" spans="1:23" x14ac:dyDescent="0.25">
      <c r="A40" s="12" t="s">
        <v>34</v>
      </c>
      <c r="B40" s="12">
        <v>32</v>
      </c>
      <c r="C40" s="12" t="s">
        <v>414</v>
      </c>
      <c r="D40" s="12">
        <v>60</v>
      </c>
      <c r="E40" s="12" t="s">
        <v>140</v>
      </c>
      <c r="F40" s="12" t="s">
        <v>142</v>
      </c>
      <c r="G40" s="12">
        <v>1</v>
      </c>
      <c r="I40" s="13" t="s">
        <v>51</v>
      </c>
      <c r="J40" s="13" t="s">
        <v>3</v>
      </c>
      <c r="K40" s="13" t="s">
        <v>2</v>
      </c>
      <c r="L40" s="13">
        <v>11</v>
      </c>
      <c r="M40" s="13" t="s">
        <v>141</v>
      </c>
      <c r="N40" s="13" t="s">
        <v>143</v>
      </c>
      <c r="O40" s="13">
        <v>1</v>
      </c>
      <c r="P40" s="11" t="str" cm="1">
        <f t="array" ref="P40:R40">_xlfn.XLOOKUP(Tabelle3[[#This Row],[filename]],Answer_Button_Distribution!$A$2:$A$153,Answer_Button_Distribution!$E$2:$G$153,"",0,1)</f>
        <v>false</v>
      </c>
      <c r="Q40" s="13" t="str">
        <v>true</v>
      </c>
      <c r="R40" s="13" t="str">
        <v>EMPTY</v>
      </c>
      <c r="S40" s="13"/>
      <c r="T40" s="13"/>
      <c r="U40" s="13"/>
      <c r="V40" s="13"/>
      <c r="W40" s="13"/>
    </row>
    <row r="41" spans="1:23" x14ac:dyDescent="0.25">
      <c r="A41" s="12" t="s">
        <v>35</v>
      </c>
      <c r="B41" s="12">
        <v>32</v>
      </c>
      <c r="C41" s="12" t="s">
        <v>414</v>
      </c>
      <c r="D41" s="12">
        <v>60</v>
      </c>
      <c r="E41" s="12" t="s">
        <v>141</v>
      </c>
      <c r="F41" s="12" t="s">
        <v>142</v>
      </c>
      <c r="G41" s="12">
        <v>0</v>
      </c>
      <c r="I41" s="13" t="s">
        <v>90</v>
      </c>
      <c r="J41" s="13" t="s">
        <v>2</v>
      </c>
      <c r="K41" s="13" t="s">
        <v>3</v>
      </c>
      <c r="L41" s="13">
        <v>9</v>
      </c>
      <c r="M41" s="13" t="s">
        <v>140</v>
      </c>
      <c r="N41" s="13" t="s">
        <v>143</v>
      </c>
      <c r="O41" s="13">
        <v>1</v>
      </c>
      <c r="P41" s="11" t="str" cm="1">
        <f t="array" ref="P41:R41">_xlfn.XLOOKUP(Tabelle3[[#This Row],[filename]],Answer_Button_Distribution!$A$2:$A$153,Answer_Button_Distribution!$E$2:$G$153,"",0,1)</f>
        <v>false</v>
      </c>
      <c r="Q41" s="15" t="str">
        <v>true</v>
      </c>
      <c r="R41" s="13" t="str">
        <v>EMPTY</v>
      </c>
      <c r="S41" s="13"/>
      <c r="T41" s="13"/>
      <c r="U41" s="13"/>
      <c r="V41" s="13"/>
      <c r="W41" s="13"/>
    </row>
    <row r="42" spans="1:23" x14ac:dyDescent="0.25">
      <c r="A42" s="12" t="s">
        <v>36</v>
      </c>
      <c r="B42" s="12">
        <v>4</v>
      </c>
      <c r="C42" s="12" t="s">
        <v>189</v>
      </c>
      <c r="D42" s="12">
        <v>61</v>
      </c>
      <c r="E42" s="12" t="s">
        <v>140</v>
      </c>
      <c r="F42" s="12" t="s">
        <v>142</v>
      </c>
      <c r="G42" s="12">
        <v>0</v>
      </c>
      <c r="I42" s="13" t="s">
        <v>76</v>
      </c>
      <c r="J42" s="13" t="s">
        <v>2</v>
      </c>
      <c r="K42" s="13" t="s">
        <v>3</v>
      </c>
      <c r="L42" s="13">
        <v>6</v>
      </c>
      <c r="M42" s="13" t="s">
        <v>140</v>
      </c>
      <c r="N42" s="13" t="s">
        <v>143</v>
      </c>
      <c r="O42" s="13">
        <v>1</v>
      </c>
      <c r="P42" s="11" t="str" cm="1">
        <f t="array" ref="P42:R42">_xlfn.XLOOKUP(Tabelle3[[#This Row],[filename]],Answer_Button_Distribution!$A$2:$A$153,Answer_Button_Distribution!$E$2:$G$153,"",0,1)</f>
        <v>false</v>
      </c>
      <c r="Q42" s="13" t="str">
        <v>true</v>
      </c>
      <c r="R42" s="13" t="str">
        <v>EMPTY</v>
      </c>
      <c r="S42" s="13"/>
      <c r="T42" s="13"/>
      <c r="U42" s="13"/>
      <c r="V42" s="13"/>
      <c r="W42" s="13"/>
    </row>
    <row r="43" spans="1:23" x14ac:dyDescent="0.25">
      <c r="A43" s="12" t="s">
        <v>37</v>
      </c>
      <c r="B43" s="12">
        <v>4</v>
      </c>
      <c r="C43" s="12" t="s">
        <v>189</v>
      </c>
      <c r="D43" s="12">
        <v>61</v>
      </c>
      <c r="E43" s="12" t="s">
        <v>141</v>
      </c>
      <c r="F43" s="12" t="s">
        <v>142</v>
      </c>
      <c r="G43" s="12">
        <v>1</v>
      </c>
      <c r="I43" s="13" t="s">
        <v>67</v>
      </c>
      <c r="J43" s="13">
        <v>6</v>
      </c>
      <c r="K43" s="13" t="s">
        <v>190</v>
      </c>
      <c r="L43" s="13">
        <v>4</v>
      </c>
      <c r="M43" s="13" t="s">
        <v>141</v>
      </c>
      <c r="N43" s="13" t="s">
        <v>143</v>
      </c>
      <c r="O43" s="13">
        <v>1</v>
      </c>
      <c r="P43" s="11" cm="1">
        <f t="array" ref="P43:R43">_xlfn.XLOOKUP(Tabelle3[[#This Row],[filename]],Answer_Button_Distribution!$A$2:$A$153,Answer_Button_Distribution!$E$2:$G$153,"",0,1)</f>
        <v>3</v>
      </c>
      <c r="Q43" s="13">
        <v>4</v>
      </c>
      <c r="R43" s="13">
        <v>6</v>
      </c>
      <c r="S43" s="13"/>
      <c r="T43" s="13"/>
      <c r="U43" s="13"/>
      <c r="V43" s="13"/>
      <c r="W43" s="13"/>
    </row>
    <row r="44" spans="1:23" x14ac:dyDescent="0.25">
      <c r="A44" s="12" t="s">
        <v>38</v>
      </c>
      <c r="B44" s="12">
        <v>3</v>
      </c>
      <c r="C44" s="12" t="s">
        <v>196</v>
      </c>
      <c r="D44" s="12">
        <v>62</v>
      </c>
      <c r="E44" s="12" t="s">
        <v>140</v>
      </c>
      <c r="F44" s="12" t="s">
        <v>142</v>
      </c>
      <c r="G44" s="12">
        <v>0</v>
      </c>
      <c r="I44" s="13" t="s">
        <v>57</v>
      </c>
      <c r="J44" s="13">
        <v>12</v>
      </c>
      <c r="K44" s="13" t="s">
        <v>157</v>
      </c>
      <c r="L44" s="13">
        <v>14</v>
      </c>
      <c r="M44" s="13" t="s">
        <v>141</v>
      </c>
      <c r="N44" s="13" t="s">
        <v>143</v>
      </c>
      <c r="O44" s="13">
        <v>1</v>
      </c>
      <c r="P44" s="11" cm="1">
        <f t="array" ref="P44:R44">_xlfn.XLOOKUP(Tabelle3[[#This Row],[filename]],Answer_Button_Distribution!$A$2:$A$153,Answer_Button_Distribution!$E$2:$G$153,"",0,1)</f>
        <v>3</v>
      </c>
      <c r="Q44" s="13">
        <v>4</v>
      </c>
      <c r="R44" s="13">
        <v>12</v>
      </c>
      <c r="S44" s="13"/>
      <c r="T44" s="13"/>
      <c r="U44" s="13"/>
      <c r="V44" s="13"/>
      <c r="W44" s="13"/>
    </row>
    <row r="45" spans="1:23" x14ac:dyDescent="0.25">
      <c r="A45" s="12" t="s">
        <v>39</v>
      </c>
      <c r="B45" s="12">
        <v>3</v>
      </c>
      <c r="C45" s="12" t="s">
        <v>196</v>
      </c>
      <c r="D45" s="12">
        <v>62</v>
      </c>
      <c r="E45" s="12" t="s">
        <v>141</v>
      </c>
      <c r="F45" s="12" t="s">
        <v>142</v>
      </c>
      <c r="G45" s="12">
        <v>1</v>
      </c>
      <c r="I45" s="13" t="s">
        <v>49</v>
      </c>
      <c r="J45" s="13">
        <v>-1</v>
      </c>
      <c r="K45" s="13" t="s">
        <v>166</v>
      </c>
      <c r="L45" s="13">
        <v>10</v>
      </c>
      <c r="M45" s="13" t="s">
        <v>141</v>
      </c>
      <c r="N45" s="13" t="s">
        <v>143</v>
      </c>
      <c r="O45" s="13">
        <v>1</v>
      </c>
      <c r="P45" s="11" cm="1">
        <f t="array" ref="P45:R45">_xlfn.XLOOKUP(Tabelle3[[#This Row],[filename]],Answer_Button_Distribution!$A$2:$A$153,Answer_Button_Distribution!$E$2:$G$153,"",0,1)</f>
        <v>-1</v>
      </c>
      <c r="Q45" s="13">
        <v>0</v>
      </c>
      <c r="R45" s="13">
        <v>5</v>
      </c>
      <c r="S45" s="13"/>
      <c r="T45" s="13"/>
      <c r="U45" s="13"/>
      <c r="V45" s="13"/>
      <c r="W45" s="13"/>
    </row>
    <row r="46" spans="1:23" x14ac:dyDescent="0.25">
      <c r="A46" s="12" t="s">
        <v>40</v>
      </c>
      <c r="B46" s="12">
        <v>9</v>
      </c>
      <c r="C46" s="12" t="s">
        <v>165</v>
      </c>
      <c r="D46" s="12">
        <v>63</v>
      </c>
      <c r="E46" s="12" t="s">
        <v>140</v>
      </c>
      <c r="F46" s="12" t="s">
        <v>142</v>
      </c>
      <c r="G46" s="12">
        <v>1</v>
      </c>
      <c r="I46" s="13" t="s">
        <v>88</v>
      </c>
      <c r="J46" s="13" t="s">
        <v>3</v>
      </c>
      <c r="K46" s="13" t="s">
        <v>2</v>
      </c>
      <c r="L46" s="13">
        <v>8</v>
      </c>
      <c r="M46" s="13" t="s">
        <v>140</v>
      </c>
      <c r="N46" s="13" t="s">
        <v>143</v>
      </c>
      <c r="O46" s="13">
        <v>1</v>
      </c>
      <c r="P46" s="11" t="str" cm="1">
        <f t="array" ref="P46:R46">_xlfn.XLOOKUP(Tabelle3[[#This Row],[filename]],Answer_Button_Distribution!$A$2:$A$153,Answer_Button_Distribution!$E$2:$G$153,"",0,1)</f>
        <v>false</v>
      </c>
      <c r="Q46" s="13" t="str">
        <v>true</v>
      </c>
      <c r="R46" s="13" t="str">
        <v>EMPTY</v>
      </c>
      <c r="S46" s="13"/>
      <c r="T46" s="13"/>
      <c r="U46" s="13"/>
      <c r="V46" s="13"/>
      <c r="W46" s="13"/>
    </row>
    <row r="47" spans="1:23" x14ac:dyDescent="0.25">
      <c r="A47" s="12" t="s">
        <v>41</v>
      </c>
      <c r="B47" s="12">
        <v>9</v>
      </c>
      <c r="C47" s="12" t="s">
        <v>165</v>
      </c>
      <c r="D47" s="12">
        <v>63</v>
      </c>
      <c r="E47" s="12" t="s">
        <v>141</v>
      </c>
      <c r="F47" s="12" t="s">
        <v>142</v>
      </c>
      <c r="G47" s="12">
        <v>0</v>
      </c>
      <c r="I47" s="13" t="s">
        <v>69</v>
      </c>
      <c r="J47" s="13">
        <v>22</v>
      </c>
      <c r="K47" s="13" t="s">
        <v>169</v>
      </c>
      <c r="L47" s="13">
        <v>49</v>
      </c>
      <c r="M47" s="13" t="s">
        <v>141</v>
      </c>
      <c r="N47" s="13" t="s">
        <v>143</v>
      </c>
      <c r="O47" s="13">
        <v>1</v>
      </c>
      <c r="P47" s="11" cm="1">
        <f t="array" ref="P47:R47">_xlfn.XLOOKUP(Tabelle3[[#This Row],[filename]],Answer_Button_Distribution!$A$2:$A$153,Answer_Button_Distribution!$E$2:$G$153,"",0,1)</f>
        <v>10</v>
      </c>
      <c r="Q47" s="13">
        <v>22</v>
      </c>
      <c r="R47" s="13">
        <v>40</v>
      </c>
      <c r="S47" s="13"/>
      <c r="T47" s="13"/>
      <c r="U47" s="13"/>
      <c r="V47" s="13"/>
      <c r="W47" s="13"/>
    </row>
    <row r="48" spans="1:23" x14ac:dyDescent="0.25">
      <c r="A48" s="17" t="s">
        <v>136</v>
      </c>
      <c r="B48" s="12" t="s">
        <v>2</v>
      </c>
      <c r="C48" s="12" t="s">
        <v>3</v>
      </c>
      <c r="D48" s="17"/>
      <c r="E48" s="12" t="s">
        <v>140</v>
      </c>
      <c r="F48" s="12" t="s">
        <v>142</v>
      </c>
      <c r="G48" s="12">
        <v>1</v>
      </c>
      <c r="I48" s="13" t="s">
        <v>87</v>
      </c>
      <c r="J48" s="13">
        <v>7</v>
      </c>
      <c r="K48" s="13" t="s">
        <v>416</v>
      </c>
      <c r="L48" s="13">
        <v>7</v>
      </c>
      <c r="M48" s="13" t="s">
        <v>141</v>
      </c>
      <c r="N48" s="13" t="s">
        <v>143</v>
      </c>
      <c r="O48" s="13">
        <v>1</v>
      </c>
      <c r="P48" s="11" cm="1">
        <f t="array" ref="P48:R48">_xlfn.XLOOKUP(Tabelle3[[#This Row],[filename]],Answer_Button_Distribution!$A$2:$A$153,Answer_Button_Distribution!$E$2:$G$153,"",0,1)</f>
        <v>7</v>
      </c>
      <c r="Q48" s="13">
        <v>8</v>
      </c>
      <c r="R48" s="13">
        <v>9</v>
      </c>
      <c r="S48" s="13"/>
      <c r="T48" s="13"/>
      <c r="U48" s="13"/>
      <c r="V48" s="13"/>
      <c r="W48" s="13"/>
    </row>
    <row r="49" spans="1:23" x14ac:dyDescent="0.25">
      <c r="A49" s="17" t="s">
        <v>137</v>
      </c>
      <c r="B49" s="12" t="s">
        <v>2</v>
      </c>
      <c r="C49" s="12" t="s">
        <v>3</v>
      </c>
      <c r="D49" s="17"/>
      <c r="E49" s="12" t="s">
        <v>141</v>
      </c>
      <c r="F49" s="12" t="s">
        <v>142</v>
      </c>
      <c r="G49" s="12">
        <v>0</v>
      </c>
      <c r="I49" s="13" t="s">
        <v>52</v>
      </c>
      <c r="J49" s="13">
        <v>0</v>
      </c>
      <c r="K49" s="13" t="s">
        <v>191</v>
      </c>
      <c r="L49" s="13">
        <v>12</v>
      </c>
      <c r="M49" s="13" t="s">
        <v>140</v>
      </c>
      <c r="N49" s="13" t="s">
        <v>143</v>
      </c>
      <c r="O49" s="13">
        <v>1</v>
      </c>
      <c r="P49" s="11" cm="1">
        <f t="array" ref="P49:R49">_xlfn.XLOOKUP(Tabelle3[[#This Row],[filename]],Answer_Button_Distribution!$A$2:$A$153,Answer_Button_Distribution!$E$2:$G$153,"",0,1)</f>
        <v>-1</v>
      </c>
      <c r="Q49" s="13">
        <v>0</v>
      </c>
      <c r="R49" s="13">
        <v>1</v>
      </c>
      <c r="S49" s="13"/>
      <c r="T49" s="13"/>
      <c r="U49" s="13"/>
      <c r="V49" s="13"/>
      <c r="W49" s="13"/>
    </row>
    <row r="50" spans="1:23" x14ac:dyDescent="0.25">
      <c r="A50" s="12" t="s">
        <v>66</v>
      </c>
      <c r="B50" s="12">
        <v>6</v>
      </c>
      <c r="C50" s="12" t="s">
        <v>190</v>
      </c>
      <c r="D50" s="12">
        <v>4</v>
      </c>
      <c r="E50" s="12" t="s">
        <v>140</v>
      </c>
      <c r="F50" s="12" t="s">
        <v>143</v>
      </c>
      <c r="G50" s="12">
        <v>0</v>
      </c>
      <c r="I50" s="13" t="s">
        <v>55</v>
      </c>
      <c r="J50" s="13">
        <v>11</v>
      </c>
      <c r="K50" s="13" t="s">
        <v>192</v>
      </c>
      <c r="L50" s="13">
        <v>13</v>
      </c>
      <c r="M50" s="13" t="s">
        <v>141</v>
      </c>
      <c r="N50" s="13" t="s">
        <v>143</v>
      </c>
      <c r="O50" s="13">
        <v>1</v>
      </c>
      <c r="P50" s="11" cm="1">
        <f t="array" ref="P50:R50">_xlfn.XLOOKUP(Tabelle3[[#This Row],[filename]],Answer_Button_Distribution!$A$2:$A$153,Answer_Button_Distribution!$E$2:$G$153,"",0,1)</f>
        <v>4</v>
      </c>
      <c r="Q50" s="13">
        <v>7</v>
      </c>
      <c r="R50" s="13">
        <v>11</v>
      </c>
      <c r="S50" s="13"/>
      <c r="T50" s="13"/>
      <c r="U50" s="13"/>
      <c r="V50" s="13"/>
      <c r="W50" s="13"/>
    </row>
    <row r="51" spans="1:23" x14ac:dyDescent="0.25">
      <c r="A51" s="12" t="s">
        <v>67</v>
      </c>
      <c r="B51" s="12">
        <v>6</v>
      </c>
      <c r="C51" s="12" t="s">
        <v>190</v>
      </c>
      <c r="D51" s="12">
        <v>4</v>
      </c>
      <c r="E51" s="12" t="s">
        <v>141</v>
      </c>
      <c r="F51" s="12" t="s">
        <v>143</v>
      </c>
      <c r="G51" s="12">
        <v>1</v>
      </c>
      <c r="I51" s="13" t="s">
        <v>60</v>
      </c>
      <c r="J51" s="13">
        <v>1</v>
      </c>
      <c r="K51" s="13" t="s">
        <v>157</v>
      </c>
      <c r="L51" s="13">
        <v>17</v>
      </c>
      <c r="M51" s="13" t="s">
        <v>140</v>
      </c>
      <c r="N51" s="13" t="s">
        <v>143</v>
      </c>
      <c r="O51" s="13">
        <v>1</v>
      </c>
      <c r="P51" s="11" cm="1">
        <f t="array" ref="P51:R51">_xlfn.XLOOKUP(Tabelle3[[#This Row],[filename]],Answer_Button_Distribution!$A$2:$A$153,Answer_Button_Distribution!$E$2:$G$153,"",0,1)</f>
        <v>1</v>
      </c>
      <c r="Q51" s="13">
        <v>3</v>
      </c>
      <c r="R51" s="13">
        <v>4</v>
      </c>
      <c r="S51" s="13"/>
      <c r="T51" s="13"/>
      <c r="U51" s="13"/>
      <c r="V51" s="13"/>
      <c r="W51" s="13"/>
    </row>
    <row r="52" spans="1:23" x14ac:dyDescent="0.25">
      <c r="A52" s="12" t="s">
        <v>70</v>
      </c>
      <c r="B52" s="12" t="s">
        <v>2</v>
      </c>
      <c r="C52" s="12" t="s">
        <v>3</v>
      </c>
      <c r="D52" s="12">
        <v>5</v>
      </c>
      <c r="E52" s="12" t="s">
        <v>140</v>
      </c>
      <c r="F52" s="12" t="s">
        <v>143</v>
      </c>
      <c r="G52" s="12">
        <v>0</v>
      </c>
      <c r="I52" s="13" t="s">
        <v>84</v>
      </c>
      <c r="J52" s="13">
        <v>5</v>
      </c>
      <c r="K52" s="13" t="s">
        <v>167</v>
      </c>
      <c r="L52" s="13">
        <v>63</v>
      </c>
      <c r="M52" s="13" t="s">
        <v>140</v>
      </c>
      <c r="N52" s="13" t="s">
        <v>143</v>
      </c>
      <c r="O52" s="13">
        <v>1</v>
      </c>
      <c r="P52" s="11" cm="1">
        <f t="array" ref="P52:R52">_xlfn.XLOOKUP(Tabelle3[[#This Row],[filename]],Answer_Button_Distribution!$A$2:$A$153,Answer_Button_Distribution!$E$2:$G$153,"",0,1)</f>
        <v>5</v>
      </c>
      <c r="Q52" s="13">
        <v>10</v>
      </c>
      <c r="R52" s="13">
        <v>12</v>
      </c>
      <c r="S52" s="13"/>
      <c r="T52" s="13"/>
      <c r="U52" s="13"/>
      <c r="V52" s="13"/>
      <c r="W52" s="13"/>
    </row>
    <row r="53" spans="1:23" x14ac:dyDescent="0.25">
      <c r="A53" s="12" t="s">
        <v>71</v>
      </c>
      <c r="B53" s="12" t="s">
        <v>2</v>
      </c>
      <c r="C53" s="12" t="s">
        <v>3</v>
      </c>
      <c r="D53" s="12">
        <v>5</v>
      </c>
      <c r="E53" s="12" t="s">
        <v>141</v>
      </c>
      <c r="F53" s="12" t="s">
        <v>143</v>
      </c>
      <c r="G53" s="12">
        <v>1</v>
      </c>
      <c r="I53" s="13" t="s">
        <v>65</v>
      </c>
      <c r="J53" s="13" t="s">
        <v>2</v>
      </c>
      <c r="K53" s="13" t="s">
        <v>3</v>
      </c>
      <c r="L53" s="13">
        <v>30</v>
      </c>
      <c r="M53" s="13" t="s">
        <v>141</v>
      </c>
      <c r="N53" s="13" t="s">
        <v>143</v>
      </c>
      <c r="O53" s="13">
        <v>1</v>
      </c>
      <c r="P53" s="11" t="str" cm="1">
        <f t="array" ref="P53:R53">_xlfn.XLOOKUP(Tabelle3[[#This Row],[filename]],Answer_Button_Distribution!$A$2:$A$153,Answer_Button_Distribution!$E$2:$G$153,"",0,1)</f>
        <v>false</v>
      </c>
      <c r="Q53" s="13" t="str">
        <v>true</v>
      </c>
      <c r="R53" s="13" t="str">
        <v>EMPTY</v>
      </c>
      <c r="S53" s="13"/>
      <c r="T53" s="13"/>
      <c r="U53" s="13"/>
      <c r="V53" s="13"/>
      <c r="W53" s="13"/>
    </row>
    <row r="54" spans="1:23" x14ac:dyDescent="0.25">
      <c r="A54" s="12" t="s">
        <v>76</v>
      </c>
      <c r="B54" s="12" t="s">
        <v>2</v>
      </c>
      <c r="C54" s="12" t="s">
        <v>3</v>
      </c>
      <c r="D54" s="12">
        <v>6</v>
      </c>
      <c r="E54" s="12" t="s">
        <v>140</v>
      </c>
      <c r="F54" s="12" t="s">
        <v>143</v>
      </c>
      <c r="G54" s="12">
        <v>1</v>
      </c>
      <c r="I54" s="13" t="s">
        <v>78</v>
      </c>
      <c r="J54" s="13">
        <v>0</v>
      </c>
      <c r="K54" s="13" t="s">
        <v>171</v>
      </c>
      <c r="L54" s="13">
        <v>60</v>
      </c>
      <c r="M54" s="13" t="s">
        <v>140</v>
      </c>
      <c r="N54" s="13" t="s">
        <v>143</v>
      </c>
      <c r="O54" s="13">
        <v>1</v>
      </c>
      <c r="P54" s="11" cm="1">
        <f t="array" ref="P54:R54">_xlfn.XLOOKUP(Tabelle3[[#This Row],[filename]],Answer_Button_Distribution!$A$2:$A$153,Answer_Button_Distribution!$E$2:$G$153,"",0,1)</f>
        <v>0</v>
      </c>
      <c r="Q54" s="13">
        <v>2</v>
      </c>
      <c r="R54" s="13">
        <v>512</v>
      </c>
      <c r="S54" s="13"/>
      <c r="T54" s="13"/>
      <c r="U54" s="13"/>
      <c r="V54" s="13"/>
      <c r="W54" s="13"/>
    </row>
    <row r="55" spans="1:23" x14ac:dyDescent="0.25">
      <c r="A55" s="12" t="s">
        <v>77</v>
      </c>
      <c r="B55" s="12" t="s">
        <v>2</v>
      </c>
      <c r="C55" s="12" t="s">
        <v>3</v>
      </c>
      <c r="D55" s="12">
        <v>6</v>
      </c>
      <c r="E55" s="12" t="s">
        <v>141</v>
      </c>
      <c r="F55" s="12" t="s">
        <v>143</v>
      </c>
      <c r="G55" s="12">
        <v>0</v>
      </c>
      <c r="I55" s="13" t="s">
        <v>125</v>
      </c>
      <c r="J55" s="13">
        <v>66</v>
      </c>
      <c r="K55" s="13" t="s">
        <v>182</v>
      </c>
      <c r="L55" s="13">
        <v>61</v>
      </c>
      <c r="M55" s="13" t="s">
        <v>141</v>
      </c>
      <c r="N55" s="13" t="s">
        <v>144</v>
      </c>
      <c r="O55" s="13">
        <v>1</v>
      </c>
      <c r="P55" s="11" cm="1">
        <f t="array" ref="P55:R55">_xlfn.XLOOKUP(Tabelle3[[#This Row],[filename]],Answer_Button_Distribution!$A$2:$A$153,Answer_Button_Distribution!$E$2:$G$153,"",0,1)</f>
        <v>6</v>
      </c>
      <c r="Q55" s="13">
        <v>60</v>
      </c>
      <c r="R55" s="13">
        <v>66</v>
      </c>
      <c r="S55" s="13"/>
      <c r="T55" s="13"/>
      <c r="U55" s="13"/>
      <c r="V55" s="13"/>
      <c r="W55" s="13"/>
    </row>
    <row r="56" spans="1:23" x14ac:dyDescent="0.25">
      <c r="A56" s="12" t="s">
        <v>86</v>
      </c>
      <c r="B56" s="12">
        <v>7</v>
      </c>
      <c r="C56" s="12" t="s">
        <v>416</v>
      </c>
      <c r="D56" s="12">
        <v>7</v>
      </c>
      <c r="E56" s="12" t="s">
        <v>140</v>
      </c>
      <c r="F56" s="12" t="s">
        <v>143</v>
      </c>
      <c r="G56" s="12">
        <v>0</v>
      </c>
      <c r="I56" s="13" t="s">
        <v>111</v>
      </c>
      <c r="J56" s="13">
        <v>7</v>
      </c>
      <c r="K56" s="13" t="s">
        <v>195</v>
      </c>
      <c r="L56" s="13">
        <v>4</v>
      </c>
      <c r="M56" s="13" t="s">
        <v>141</v>
      </c>
      <c r="N56" s="13" t="s">
        <v>144</v>
      </c>
      <c r="O56" s="13">
        <v>1</v>
      </c>
      <c r="P56" s="11" cm="1">
        <f t="array" ref="P56:R56">_xlfn.XLOOKUP(Tabelle3[[#This Row],[filename]],Answer_Button_Distribution!$A$2:$A$153,Answer_Button_Distribution!$E$2:$G$153,"",0,1)</f>
        <v>7</v>
      </c>
      <c r="Q56" s="13">
        <v>8</v>
      </c>
      <c r="R56" s="13">
        <v>16</v>
      </c>
      <c r="S56" s="13"/>
      <c r="T56" s="13"/>
      <c r="U56" s="13"/>
      <c r="V56" s="13"/>
      <c r="W56" s="13"/>
    </row>
    <row r="57" spans="1:23" x14ac:dyDescent="0.25">
      <c r="A57" s="12" t="s">
        <v>87</v>
      </c>
      <c r="B57" s="12">
        <v>7</v>
      </c>
      <c r="C57" s="12" t="s">
        <v>416</v>
      </c>
      <c r="D57" s="12">
        <v>7</v>
      </c>
      <c r="E57" s="12" t="s">
        <v>141</v>
      </c>
      <c r="F57" s="12" t="s">
        <v>143</v>
      </c>
      <c r="G57" s="12">
        <v>1</v>
      </c>
      <c r="I57" s="13" t="s">
        <v>102</v>
      </c>
      <c r="J57" s="13">
        <v>6</v>
      </c>
      <c r="K57" s="13" t="s">
        <v>177</v>
      </c>
      <c r="L57" s="13">
        <v>16</v>
      </c>
      <c r="M57" s="13" t="s">
        <v>140</v>
      </c>
      <c r="N57" s="13" t="s">
        <v>144</v>
      </c>
      <c r="O57" s="13">
        <v>1</v>
      </c>
      <c r="P57" s="11" cm="1">
        <f t="array" ref="P57:R57">_xlfn.XLOOKUP(Tabelle3[[#This Row],[filename]],Answer_Button_Distribution!$A$2:$A$153,Answer_Button_Distribution!$E$2:$G$153,"",0,1)</f>
        <v>4</v>
      </c>
      <c r="Q57" s="13">
        <v>6</v>
      </c>
      <c r="R57" s="13">
        <v>13</v>
      </c>
      <c r="S57" s="13"/>
      <c r="T57" s="13"/>
      <c r="U57" s="13"/>
      <c r="V57" s="13"/>
      <c r="W57" s="13"/>
    </row>
    <row r="58" spans="1:23" x14ac:dyDescent="0.25">
      <c r="A58" s="12" t="s">
        <v>88</v>
      </c>
      <c r="B58" s="12" t="s">
        <v>3</v>
      </c>
      <c r="C58" s="12" t="s">
        <v>2</v>
      </c>
      <c r="D58" s="12">
        <v>8</v>
      </c>
      <c r="E58" s="12" t="s">
        <v>140</v>
      </c>
      <c r="F58" s="12" t="s">
        <v>143</v>
      </c>
      <c r="G58" s="12">
        <v>1</v>
      </c>
      <c r="I58" s="13" t="s">
        <v>116</v>
      </c>
      <c r="J58" s="13">
        <v>0</v>
      </c>
      <c r="K58" s="13" t="s">
        <v>163</v>
      </c>
      <c r="L58" s="13">
        <v>54</v>
      </c>
      <c r="M58" s="13" t="s">
        <v>140</v>
      </c>
      <c r="N58" s="13" t="s">
        <v>144</v>
      </c>
      <c r="O58" s="13">
        <v>1</v>
      </c>
      <c r="P58" s="11" cm="1">
        <f t="array" ref="P58:R58">_xlfn.XLOOKUP(Tabelle3[[#This Row],[filename]],Answer_Button_Distribution!$A$2:$A$153,Answer_Button_Distribution!$E$2:$G$153,"",0,1)</f>
        <v>0</v>
      </c>
      <c r="Q58" s="13">
        <v>2</v>
      </c>
      <c r="R58" s="13">
        <v>6</v>
      </c>
      <c r="S58" s="13"/>
      <c r="T58" s="13"/>
      <c r="U58" s="13"/>
      <c r="V58" s="13"/>
      <c r="W58" s="13"/>
    </row>
    <row r="59" spans="1:23" x14ac:dyDescent="0.25">
      <c r="A59" s="12" t="s">
        <v>89</v>
      </c>
      <c r="B59" s="12" t="s">
        <v>3</v>
      </c>
      <c r="C59" s="12" t="s">
        <v>2</v>
      </c>
      <c r="D59" s="12">
        <v>8</v>
      </c>
      <c r="E59" s="12" t="s">
        <v>141</v>
      </c>
      <c r="F59" s="12" t="s">
        <v>143</v>
      </c>
      <c r="G59" s="12">
        <v>0</v>
      </c>
      <c r="I59" s="13" t="s">
        <v>115</v>
      </c>
      <c r="J59" s="13" t="s">
        <v>3</v>
      </c>
      <c r="K59" s="13" t="s">
        <v>2</v>
      </c>
      <c r="L59" s="13">
        <v>5</v>
      </c>
      <c r="M59" s="13" t="s">
        <v>141</v>
      </c>
      <c r="N59" s="13" t="s">
        <v>144</v>
      </c>
      <c r="O59" s="13">
        <v>1</v>
      </c>
      <c r="P59" s="11" t="str" cm="1">
        <f t="array" ref="P59:R59">_xlfn.XLOOKUP(Tabelle3[[#This Row],[filename]],Answer_Button_Distribution!$A$2:$A$153,Answer_Button_Distribution!$E$2:$G$153,"",0,1)</f>
        <v>false</v>
      </c>
      <c r="Q59" s="13" t="str">
        <v>true</v>
      </c>
      <c r="R59" s="13" t="str">
        <v>EMPTY</v>
      </c>
      <c r="S59" s="13"/>
      <c r="T59" s="13"/>
      <c r="U59" s="13"/>
      <c r="V59" s="13"/>
      <c r="W59" s="13"/>
    </row>
    <row r="60" spans="1:23" x14ac:dyDescent="0.25">
      <c r="A60" s="12" t="s">
        <v>90</v>
      </c>
      <c r="B60" s="12" t="s">
        <v>2</v>
      </c>
      <c r="C60" s="12" t="s">
        <v>3</v>
      </c>
      <c r="D60" s="12">
        <v>9</v>
      </c>
      <c r="E60" s="12" t="s">
        <v>140</v>
      </c>
      <c r="F60" s="12" t="s">
        <v>143</v>
      </c>
      <c r="G60" s="12">
        <v>1</v>
      </c>
      <c r="I60" s="13" t="s">
        <v>118</v>
      </c>
      <c r="J60" s="13">
        <v>21</v>
      </c>
      <c r="K60" s="13" t="s">
        <v>180</v>
      </c>
      <c r="L60" s="13">
        <v>57</v>
      </c>
      <c r="M60" s="13" t="s">
        <v>140</v>
      </c>
      <c r="N60" s="13" t="s">
        <v>144</v>
      </c>
      <c r="O60" s="13">
        <v>1</v>
      </c>
      <c r="P60" s="11" cm="1">
        <f t="array" ref="P60:R60">_xlfn.XLOOKUP(Tabelle3[[#This Row],[filename]],Answer_Button_Distribution!$A$2:$A$153,Answer_Button_Distribution!$E$2:$G$153,"",0,1)</f>
        <v>20</v>
      </c>
      <c r="Q60" s="13">
        <v>21</v>
      </c>
      <c r="R60" s="13">
        <v>22</v>
      </c>
      <c r="S60" s="13"/>
      <c r="T60" s="13"/>
      <c r="U60" s="13"/>
      <c r="V60" s="13"/>
      <c r="W60" s="13"/>
    </row>
    <row r="61" spans="1:23" x14ac:dyDescent="0.25">
      <c r="A61" s="12" t="s">
        <v>91</v>
      </c>
      <c r="B61" s="12" t="s">
        <v>2</v>
      </c>
      <c r="C61" s="12" t="s">
        <v>3</v>
      </c>
      <c r="D61" s="12">
        <v>9</v>
      </c>
      <c r="E61" s="12" t="s">
        <v>141</v>
      </c>
      <c r="F61" s="12" t="s">
        <v>143</v>
      </c>
      <c r="G61" s="12">
        <v>0</v>
      </c>
      <c r="I61" s="13" t="s">
        <v>127</v>
      </c>
      <c r="J61" s="13">
        <v>50</v>
      </c>
      <c r="K61" s="13" t="s">
        <v>183</v>
      </c>
      <c r="L61" s="13">
        <v>62</v>
      </c>
      <c r="M61" s="13" t="s">
        <v>141</v>
      </c>
      <c r="N61" s="13" t="s">
        <v>144</v>
      </c>
      <c r="O61" s="13">
        <v>1</v>
      </c>
      <c r="P61" s="11" cm="1">
        <f t="array" ref="P61:R61">_xlfn.XLOOKUP(Tabelle3[[#This Row],[filename]],Answer_Button_Distribution!$A$2:$A$153,Answer_Button_Distribution!$E$2:$G$153,"",0,1)</f>
        <v>50</v>
      </c>
      <c r="Q61" s="13">
        <v>100</v>
      </c>
      <c r="R61" s="13">
        <v>500</v>
      </c>
      <c r="S61" s="13"/>
      <c r="T61" s="13"/>
      <c r="U61" s="13"/>
      <c r="V61" s="13"/>
      <c r="W61" s="13"/>
    </row>
    <row r="62" spans="1:23" x14ac:dyDescent="0.25">
      <c r="A62" s="12" t="s">
        <v>48</v>
      </c>
      <c r="B62" s="12">
        <v>-1</v>
      </c>
      <c r="C62" s="12" t="s">
        <v>166</v>
      </c>
      <c r="D62" s="12">
        <v>10</v>
      </c>
      <c r="E62" s="12" t="s">
        <v>140</v>
      </c>
      <c r="F62" s="12" t="s">
        <v>143</v>
      </c>
      <c r="G62" s="12">
        <v>0</v>
      </c>
      <c r="I62" s="13" t="s">
        <v>95</v>
      </c>
      <c r="J62" s="13" t="s">
        <v>3</v>
      </c>
      <c r="K62" s="13" t="s">
        <v>2</v>
      </c>
      <c r="L62" s="13">
        <v>11</v>
      </c>
      <c r="M62" s="13" t="s">
        <v>141</v>
      </c>
      <c r="N62" s="13" t="s">
        <v>144</v>
      </c>
      <c r="O62" s="13">
        <v>1</v>
      </c>
      <c r="P62" s="11" t="str" cm="1">
        <f t="array" ref="P62:R62">_xlfn.XLOOKUP(Tabelle3[[#This Row],[filename]],Answer_Button_Distribution!$A$2:$A$153,Answer_Button_Distribution!$E$2:$G$153,"",0,1)</f>
        <v>false</v>
      </c>
      <c r="Q62" s="13" t="str">
        <v>true</v>
      </c>
      <c r="R62" s="13" t="str">
        <v>EMPTY</v>
      </c>
      <c r="S62" s="13"/>
      <c r="T62" s="13"/>
      <c r="U62" s="13"/>
      <c r="V62" s="13"/>
      <c r="W62" s="13"/>
    </row>
    <row r="63" spans="1:23" x14ac:dyDescent="0.25">
      <c r="A63" s="12" t="s">
        <v>49</v>
      </c>
      <c r="B63" s="12">
        <v>-1</v>
      </c>
      <c r="C63" s="12" t="s">
        <v>166</v>
      </c>
      <c r="D63" s="12">
        <v>10</v>
      </c>
      <c r="E63" s="12" t="s">
        <v>141</v>
      </c>
      <c r="F63" s="12" t="s">
        <v>143</v>
      </c>
      <c r="G63" s="12">
        <v>1</v>
      </c>
      <c r="I63" s="13" t="s">
        <v>113</v>
      </c>
      <c r="J63" s="13">
        <v>42</v>
      </c>
      <c r="K63" s="13" t="s">
        <v>179</v>
      </c>
      <c r="L63" s="13">
        <v>49</v>
      </c>
      <c r="M63" s="13" t="s">
        <v>141</v>
      </c>
      <c r="N63" s="13" t="s">
        <v>144</v>
      </c>
      <c r="O63" s="13">
        <v>1</v>
      </c>
      <c r="P63" s="11" cm="1">
        <f t="array" ref="P63:R63">_xlfn.XLOOKUP(Tabelle3[[#This Row],[filename]],Answer_Button_Distribution!$A$2:$A$153,Answer_Button_Distribution!$E$2:$G$153,"",0,1)</f>
        <v>21</v>
      </c>
      <c r="Q63" s="13">
        <v>42</v>
      </c>
      <c r="R63" s="13">
        <v>80</v>
      </c>
      <c r="S63" s="13"/>
      <c r="T63" s="13"/>
      <c r="U63" s="13"/>
      <c r="V63" s="13"/>
      <c r="W63" s="13"/>
    </row>
    <row r="64" spans="1:23" x14ac:dyDescent="0.25">
      <c r="A64" s="12" t="s">
        <v>50</v>
      </c>
      <c r="B64" s="12" t="s">
        <v>3</v>
      </c>
      <c r="C64" s="12" t="s">
        <v>2</v>
      </c>
      <c r="D64" s="12">
        <v>11</v>
      </c>
      <c r="E64" s="12" t="s">
        <v>140</v>
      </c>
      <c r="F64" s="12" t="s">
        <v>143</v>
      </c>
      <c r="G64" s="12">
        <v>0</v>
      </c>
      <c r="I64" s="13" t="s">
        <v>104</v>
      </c>
      <c r="J64" s="13">
        <v>9</v>
      </c>
      <c r="K64" s="13" t="s">
        <v>178</v>
      </c>
      <c r="L64" s="13">
        <v>17</v>
      </c>
      <c r="M64" s="13" t="s">
        <v>140</v>
      </c>
      <c r="N64" s="13" t="s">
        <v>144</v>
      </c>
      <c r="O64" s="13">
        <v>1</v>
      </c>
      <c r="P64" s="11" cm="1">
        <f t="array" ref="P64:R64">_xlfn.XLOOKUP(Tabelle3[[#This Row],[filename]],Answer_Button_Distribution!$A$2:$A$153,Answer_Button_Distribution!$E$2:$G$153,"",0,1)</f>
        <v>1</v>
      </c>
      <c r="Q64" s="13">
        <v>8</v>
      </c>
      <c r="R64" s="13">
        <v>9</v>
      </c>
      <c r="S64" s="13"/>
      <c r="T64" s="13"/>
      <c r="U64" s="13"/>
      <c r="V64" s="13"/>
      <c r="W64" s="13"/>
    </row>
    <row r="65" spans="1:23" x14ac:dyDescent="0.25">
      <c r="A65" s="12" t="s">
        <v>51</v>
      </c>
      <c r="B65" s="12" t="s">
        <v>3</v>
      </c>
      <c r="C65" s="12" t="s">
        <v>2</v>
      </c>
      <c r="D65" s="12">
        <v>11</v>
      </c>
      <c r="E65" s="12" t="s">
        <v>141</v>
      </c>
      <c r="F65" s="12" t="s">
        <v>143</v>
      </c>
      <c r="G65" s="12">
        <v>1</v>
      </c>
      <c r="I65" s="13" t="s">
        <v>131</v>
      </c>
      <c r="J65" s="13">
        <v>8</v>
      </c>
      <c r="K65" s="13" t="s">
        <v>417</v>
      </c>
      <c r="L65" s="13">
        <v>7</v>
      </c>
      <c r="M65" s="13" t="s">
        <v>141</v>
      </c>
      <c r="N65" s="13" t="s">
        <v>144</v>
      </c>
      <c r="O65" s="13">
        <v>1</v>
      </c>
      <c r="P65" s="11" cm="1">
        <f t="array" ref="P65:R65">_xlfn.XLOOKUP(Tabelle3[[#This Row],[filename]],Answer_Button_Distribution!$A$2:$A$153,Answer_Button_Distribution!$E$2:$G$153,"",0,1)</f>
        <v>8</v>
      </c>
      <c r="Q65" s="13">
        <v>9</v>
      </c>
      <c r="R65" s="13">
        <v>17</v>
      </c>
      <c r="S65" s="13"/>
      <c r="T65" s="13"/>
      <c r="U65" s="13"/>
      <c r="V65" s="13"/>
      <c r="W65" s="13"/>
    </row>
    <row r="66" spans="1:23" x14ac:dyDescent="0.25">
      <c r="A66" s="12" t="s">
        <v>52</v>
      </c>
      <c r="B66" s="12">
        <v>0</v>
      </c>
      <c r="C66" s="12" t="s">
        <v>191</v>
      </c>
      <c r="D66" s="12">
        <v>12</v>
      </c>
      <c r="E66" s="12" t="s">
        <v>140</v>
      </c>
      <c r="F66" s="12" t="s">
        <v>143</v>
      </c>
      <c r="G66" s="12">
        <v>1</v>
      </c>
      <c r="I66" s="13" t="s">
        <v>107</v>
      </c>
      <c r="J66" s="13">
        <v>6</v>
      </c>
      <c r="K66" s="13" t="s">
        <v>158</v>
      </c>
      <c r="L66" s="13">
        <v>18</v>
      </c>
      <c r="M66" s="13" t="s">
        <v>141</v>
      </c>
      <c r="N66" s="13" t="s">
        <v>144</v>
      </c>
      <c r="O66" s="13">
        <v>1</v>
      </c>
      <c r="P66" s="11" cm="1">
        <f t="array" ref="P66:R66">_xlfn.XLOOKUP(Tabelle3[[#This Row],[filename]],Answer_Button_Distribution!$A$2:$A$153,Answer_Button_Distribution!$E$2:$G$153,"",0,1)</f>
        <v>4</v>
      </c>
      <c r="Q66" s="13">
        <v>5</v>
      </c>
      <c r="R66" s="13">
        <v>6</v>
      </c>
      <c r="S66" s="13"/>
      <c r="T66" s="13"/>
      <c r="U66" s="13"/>
      <c r="V66" s="13"/>
      <c r="W66" s="13"/>
    </row>
    <row r="67" spans="1:23" x14ac:dyDescent="0.25">
      <c r="A67" s="12" t="s">
        <v>53</v>
      </c>
      <c r="B67" s="12">
        <v>0</v>
      </c>
      <c r="C67" s="12" t="s">
        <v>191</v>
      </c>
      <c r="D67" s="12">
        <v>12</v>
      </c>
      <c r="E67" s="12" t="s">
        <v>141</v>
      </c>
      <c r="F67" s="12" t="s">
        <v>143</v>
      </c>
      <c r="G67" s="12">
        <v>0</v>
      </c>
      <c r="I67" s="13" t="s">
        <v>128</v>
      </c>
      <c r="J67" s="13">
        <v>80</v>
      </c>
      <c r="K67" s="13" t="s">
        <v>184</v>
      </c>
      <c r="L67" s="13">
        <v>63</v>
      </c>
      <c r="M67" s="13" t="s">
        <v>140</v>
      </c>
      <c r="N67" s="13" t="s">
        <v>144</v>
      </c>
      <c r="O67" s="13">
        <v>1</v>
      </c>
      <c r="P67" s="11" cm="1">
        <f t="array" ref="P67:R67">_xlfn.XLOOKUP(Tabelle3[[#This Row],[filename]],Answer_Button_Distribution!$A$2:$A$153,Answer_Button_Distribution!$E$2:$G$153,"",0,1)</f>
        <v>40</v>
      </c>
      <c r="Q67" s="13">
        <v>50</v>
      </c>
      <c r="R67" s="13">
        <v>80</v>
      </c>
      <c r="S67" s="13"/>
      <c r="T67" s="13"/>
      <c r="U67" s="13"/>
      <c r="V67" s="13"/>
      <c r="W67" s="13"/>
    </row>
    <row r="68" spans="1:23" x14ac:dyDescent="0.25">
      <c r="A68" s="12" t="s">
        <v>54</v>
      </c>
      <c r="B68" s="12">
        <v>11</v>
      </c>
      <c r="C68" s="12" t="s">
        <v>192</v>
      </c>
      <c r="D68" s="12">
        <v>13</v>
      </c>
      <c r="E68" s="12" t="s">
        <v>140</v>
      </c>
      <c r="F68" s="12" t="s">
        <v>143</v>
      </c>
      <c r="G68" s="12">
        <v>0</v>
      </c>
      <c r="I68" s="13" t="s">
        <v>101</v>
      </c>
      <c r="J68" s="13">
        <v>27</v>
      </c>
      <c r="K68" s="13" t="s">
        <v>174</v>
      </c>
      <c r="L68" s="13">
        <v>14</v>
      </c>
      <c r="M68" s="13" t="s">
        <v>141</v>
      </c>
      <c r="N68" s="13" t="s">
        <v>144</v>
      </c>
      <c r="O68" s="13">
        <v>1</v>
      </c>
      <c r="P68" s="11" cm="1">
        <f t="array" ref="P68:R68">_xlfn.XLOOKUP(Tabelle3[[#This Row],[filename]],Answer_Button_Distribution!$A$2:$A$153,Answer_Button_Distribution!$E$2:$G$153,"",0,1)</f>
        <v>9</v>
      </c>
      <c r="Q68" s="13">
        <v>27</v>
      </c>
      <c r="R68" s="13">
        <v>30</v>
      </c>
      <c r="S68" s="13"/>
      <c r="T68" s="13"/>
      <c r="U68" s="13"/>
      <c r="V68" s="13"/>
      <c r="W68" s="13"/>
    </row>
    <row r="69" spans="1:23" x14ac:dyDescent="0.25">
      <c r="A69" s="12" t="s">
        <v>55</v>
      </c>
      <c r="B69" s="12">
        <v>11</v>
      </c>
      <c r="C69" s="12" t="s">
        <v>192</v>
      </c>
      <c r="D69" s="12">
        <v>13</v>
      </c>
      <c r="E69" s="12" t="s">
        <v>141</v>
      </c>
      <c r="F69" s="12" t="s">
        <v>143</v>
      </c>
      <c r="G69" s="12">
        <v>1</v>
      </c>
      <c r="I69" s="13" t="s">
        <v>122</v>
      </c>
      <c r="J69" s="13">
        <v>40</v>
      </c>
      <c r="K69" s="13" t="s">
        <v>181</v>
      </c>
      <c r="L69" s="13">
        <v>60</v>
      </c>
      <c r="M69" s="13" t="s">
        <v>140</v>
      </c>
      <c r="N69" s="13" t="s">
        <v>144</v>
      </c>
      <c r="O69" s="13">
        <v>1</v>
      </c>
      <c r="P69" s="11" cm="1">
        <f t="array" ref="P69:R69">_xlfn.XLOOKUP(Tabelle3[[#This Row],[filename]],Answer_Button_Distribution!$A$2:$A$153,Answer_Button_Distribution!$E$2:$G$153,"",0,1)</f>
        <v>40</v>
      </c>
      <c r="Q69" s="13">
        <v>255</v>
      </c>
      <c r="R69" s="13">
        <v>296</v>
      </c>
      <c r="S69" s="13"/>
      <c r="T69" s="13"/>
      <c r="U69" s="13"/>
      <c r="V69" s="13"/>
      <c r="W69" s="13"/>
    </row>
    <row r="70" spans="1:23" x14ac:dyDescent="0.25">
      <c r="A70" s="12" t="s">
        <v>56</v>
      </c>
      <c r="B70" s="12">
        <v>12</v>
      </c>
      <c r="C70" s="12" t="s">
        <v>157</v>
      </c>
      <c r="D70" s="12">
        <v>14</v>
      </c>
      <c r="E70" s="12" t="s">
        <v>140</v>
      </c>
      <c r="F70" s="12" t="s">
        <v>143</v>
      </c>
      <c r="G70" s="12">
        <v>0</v>
      </c>
      <c r="I70" s="13" t="s">
        <v>109</v>
      </c>
      <c r="J70" s="13" t="s">
        <v>3</v>
      </c>
      <c r="K70" s="13" t="s">
        <v>2</v>
      </c>
      <c r="L70" s="13">
        <v>30</v>
      </c>
      <c r="M70" s="13" t="s">
        <v>141</v>
      </c>
      <c r="N70" s="13" t="s">
        <v>144</v>
      </c>
      <c r="O70" s="13">
        <v>1</v>
      </c>
      <c r="P70" s="11" t="str" cm="1">
        <f t="array" ref="P70:R70">_xlfn.XLOOKUP(Tabelle3[[#This Row],[filename]],Answer_Button_Distribution!$A$2:$A$153,Answer_Button_Distribution!$E$2:$G$153,"",0,1)</f>
        <v>false</v>
      </c>
      <c r="Q70" s="13" t="str">
        <v>true</v>
      </c>
      <c r="R70" s="13" t="str">
        <v>EMPTY</v>
      </c>
      <c r="S70" s="13"/>
      <c r="T70" s="13"/>
      <c r="U70" s="13"/>
      <c r="V70" s="13"/>
      <c r="W70" s="13"/>
    </row>
    <row r="71" spans="1:23" x14ac:dyDescent="0.25">
      <c r="A71" s="12" t="s">
        <v>57</v>
      </c>
      <c r="B71" s="12">
        <v>12</v>
      </c>
      <c r="C71" s="12" t="s">
        <v>157</v>
      </c>
      <c r="D71" s="12">
        <v>14</v>
      </c>
      <c r="E71" s="12" t="s">
        <v>141</v>
      </c>
      <c r="F71" s="12" t="s">
        <v>143</v>
      </c>
      <c r="G71" s="12">
        <v>1</v>
      </c>
      <c r="I71" s="13" t="s">
        <v>96</v>
      </c>
      <c r="J71" s="13">
        <v>4</v>
      </c>
      <c r="K71" s="13" t="s">
        <v>176</v>
      </c>
      <c r="L71" s="13">
        <v>12</v>
      </c>
      <c r="M71" s="13" t="s">
        <v>140</v>
      </c>
      <c r="N71" s="13" t="s">
        <v>144</v>
      </c>
      <c r="O71" s="13">
        <v>1</v>
      </c>
      <c r="P71" s="11" cm="1">
        <f t="array" ref="P71:R71">_xlfn.XLOOKUP(Tabelle3[[#This Row],[filename]],Answer_Button_Distribution!$A$2:$A$153,Answer_Button_Distribution!$E$2:$G$153,"",0,1)</f>
        <v>2</v>
      </c>
      <c r="Q71" s="13">
        <v>3</v>
      </c>
      <c r="R71" s="13">
        <v>4</v>
      </c>
      <c r="S71" s="13"/>
      <c r="T71" s="13"/>
      <c r="U71" s="13"/>
      <c r="V71" s="13"/>
      <c r="W71" s="13"/>
    </row>
    <row r="72" spans="1:23" x14ac:dyDescent="0.25">
      <c r="A72" s="12" t="s">
        <v>211</v>
      </c>
      <c r="B72" s="12" t="s">
        <v>217</v>
      </c>
      <c r="C72" s="12" t="s">
        <v>219</v>
      </c>
      <c r="D72" s="12">
        <v>15</v>
      </c>
      <c r="E72" s="12" t="s">
        <v>140</v>
      </c>
      <c r="F72" s="12" t="s">
        <v>143</v>
      </c>
      <c r="G72" s="12">
        <v>1</v>
      </c>
      <c r="I72" s="13" t="s">
        <v>120</v>
      </c>
      <c r="J72" s="13" t="s">
        <v>2</v>
      </c>
      <c r="K72" s="13" t="s">
        <v>3</v>
      </c>
      <c r="L72" s="13">
        <v>6</v>
      </c>
      <c r="M72" s="13" t="s">
        <v>140</v>
      </c>
      <c r="N72" s="13" t="s">
        <v>144</v>
      </c>
      <c r="O72" s="13">
        <v>1</v>
      </c>
      <c r="P72" s="11" t="str" cm="1">
        <f t="array" ref="P72:R72">_xlfn.XLOOKUP(Tabelle3[[#This Row],[filename]],Answer_Button_Distribution!$A$2:$A$153,Answer_Button_Distribution!$E$2:$G$153,"",0,1)</f>
        <v>false</v>
      </c>
      <c r="Q72" s="13" t="str">
        <v>true</v>
      </c>
      <c r="R72" s="13" t="str">
        <v>EMPTY</v>
      </c>
      <c r="S72" s="13"/>
      <c r="T72" s="13"/>
      <c r="U72" s="13"/>
      <c r="V72" s="13"/>
      <c r="W72" s="13"/>
    </row>
    <row r="73" spans="1:23" x14ac:dyDescent="0.25">
      <c r="A73" s="12" t="s">
        <v>214</v>
      </c>
      <c r="B73" s="12" t="s">
        <v>217</v>
      </c>
      <c r="C73" s="12" t="s">
        <v>219</v>
      </c>
      <c r="D73" s="12">
        <v>15</v>
      </c>
      <c r="E73" s="12" t="s">
        <v>141</v>
      </c>
      <c r="F73" s="12" t="s">
        <v>143</v>
      </c>
      <c r="G73" s="12">
        <v>0</v>
      </c>
      <c r="I73" s="13" t="s">
        <v>134</v>
      </c>
      <c r="J73" s="13" t="s">
        <v>3</v>
      </c>
      <c r="K73" s="13" t="s">
        <v>2</v>
      </c>
      <c r="L73" s="13">
        <v>9</v>
      </c>
      <c r="M73" s="13" t="s">
        <v>140</v>
      </c>
      <c r="N73" s="13" t="s">
        <v>144</v>
      </c>
      <c r="O73" s="13">
        <v>1</v>
      </c>
      <c r="P73" s="11" t="str" cm="1">
        <f t="array" ref="P73:R73">_xlfn.XLOOKUP(Tabelle3[[#This Row],[filename]],Answer_Button_Distribution!$A$2:$A$153,Answer_Button_Distribution!$E$2:$G$153,"",0,1)</f>
        <v>false</v>
      </c>
      <c r="Q73" s="13" t="str">
        <v>true</v>
      </c>
      <c r="R73" s="13" t="str">
        <v>EMPTY</v>
      </c>
      <c r="S73" s="13"/>
      <c r="T73" s="13"/>
      <c r="U73" s="13"/>
      <c r="V73" s="13"/>
      <c r="W73" s="13"/>
    </row>
    <row r="74" spans="1:23" x14ac:dyDescent="0.25">
      <c r="A74" s="12" t="s">
        <v>58</v>
      </c>
      <c r="B74" s="12">
        <v>5</v>
      </c>
      <c r="C74" s="12" t="s">
        <v>168</v>
      </c>
      <c r="D74" s="12">
        <v>16</v>
      </c>
      <c r="E74" s="12" t="s">
        <v>140</v>
      </c>
      <c r="F74" s="12" t="s">
        <v>143</v>
      </c>
      <c r="G74" s="12">
        <v>1</v>
      </c>
      <c r="I74" s="13" t="s">
        <v>99</v>
      </c>
      <c r="J74" s="13">
        <v>5</v>
      </c>
      <c r="K74" s="13" t="s">
        <v>164</v>
      </c>
      <c r="L74" s="13">
        <v>13</v>
      </c>
      <c r="M74" s="13" t="s">
        <v>141</v>
      </c>
      <c r="N74" s="13" t="s">
        <v>144</v>
      </c>
      <c r="O74" s="13">
        <v>1</v>
      </c>
      <c r="P74" s="11" cm="1">
        <f t="array" ref="P74:R74">_xlfn.XLOOKUP(Tabelle3[[#This Row],[filename]],Answer_Button_Distribution!$A$2:$A$153,Answer_Button_Distribution!$E$2:$G$153,"",0,1)</f>
        <v>5</v>
      </c>
      <c r="Q74" s="13">
        <v>6</v>
      </c>
      <c r="R74" s="13">
        <v>8</v>
      </c>
      <c r="S74" s="13"/>
      <c r="T74" s="13"/>
      <c r="U74" s="13"/>
      <c r="V74" s="13"/>
      <c r="W74" s="13"/>
    </row>
    <row r="75" spans="1:23" x14ac:dyDescent="0.25">
      <c r="A75" s="12" t="s">
        <v>59</v>
      </c>
      <c r="B75" s="12">
        <v>5</v>
      </c>
      <c r="C75" s="12" t="s">
        <v>168</v>
      </c>
      <c r="D75" s="12">
        <v>16</v>
      </c>
      <c r="E75" s="12" t="s">
        <v>141</v>
      </c>
      <c r="F75" s="12" t="s">
        <v>143</v>
      </c>
      <c r="G75" s="12">
        <v>0</v>
      </c>
      <c r="I75" s="13" t="s">
        <v>93</v>
      </c>
      <c r="J75" s="13">
        <v>7</v>
      </c>
      <c r="K75" s="13" t="s">
        <v>175</v>
      </c>
      <c r="L75" s="13">
        <v>10</v>
      </c>
      <c r="M75" s="13" t="s">
        <v>141</v>
      </c>
      <c r="N75" s="13" t="s">
        <v>144</v>
      </c>
      <c r="O75" s="13">
        <v>1</v>
      </c>
      <c r="P75" s="11" cm="1">
        <f t="array" ref="P75:R75">_xlfn.XLOOKUP(Tabelle3[[#This Row],[filename]],Answer_Button_Distribution!$A$2:$A$153,Answer_Button_Distribution!$E$2:$G$153,"",0,1)</f>
        <v>4</v>
      </c>
      <c r="Q75" s="13">
        <v>6</v>
      </c>
      <c r="R75" s="13">
        <v>7</v>
      </c>
      <c r="S75" s="13"/>
      <c r="T75" s="13"/>
      <c r="U75" s="13"/>
      <c r="V75" s="13"/>
      <c r="W75" s="13"/>
    </row>
    <row r="76" spans="1:23" x14ac:dyDescent="0.25">
      <c r="A76" s="12" t="s">
        <v>60</v>
      </c>
      <c r="B76" s="12">
        <v>1</v>
      </c>
      <c r="C76" s="12" t="s">
        <v>157</v>
      </c>
      <c r="D76" s="12">
        <v>17</v>
      </c>
      <c r="E76" s="12" t="s">
        <v>140</v>
      </c>
      <c r="F76" s="12" t="s">
        <v>143</v>
      </c>
      <c r="G76" s="12">
        <v>1</v>
      </c>
      <c r="I76" s="15" t="s">
        <v>147</v>
      </c>
      <c r="J76" s="13" t="s">
        <v>3</v>
      </c>
      <c r="K76" s="13" t="s">
        <v>2</v>
      </c>
      <c r="L76" s="13"/>
      <c r="M76" s="13" t="s">
        <v>140</v>
      </c>
      <c r="N76" s="13" t="s">
        <v>144</v>
      </c>
      <c r="O76" s="13">
        <v>1</v>
      </c>
      <c r="P76" s="11" t="str" cm="1">
        <f t="array" ref="P76:R76">_xlfn.XLOOKUP(Tabelle3[[#This Row],[filename]],Answer_Button_Distribution!$A$2:$A$153,Answer_Button_Distribution!$E$2:$G$153,"",0,1)</f>
        <v>false</v>
      </c>
      <c r="Q76" s="13" t="str">
        <v>true</v>
      </c>
      <c r="R76" s="13" t="str">
        <v>EMPTY</v>
      </c>
      <c r="S76" s="13"/>
      <c r="T76" s="13"/>
      <c r="U76" s="13"/>
      <c r="V76" s="13"/>
      <c r="W76" s="13"/>
    </row>
    <row r="77" spans="1:23" x14ac:dyDescent="0.25">
      <c r="A77" s="12" t="s">
        <v>61</v>
      </c>
      <c r="B77" s="12">
        <v>1</v>
      </c>
      <c r="C77" s="12" t="s">
        <v>157</v>
      </c>
      <c r="D77" s="12">
        <v>17</v>
      </c>
      <c r="E77" s="12" t="s">
        <v>141</v>
      </c>
      <c r="F77" s="12" t="s">
        <v>143</v>
      </c>
      <c r="G77" s="12">
        <v>0</v>
      </c>
      <c r="I77" s="13" t="s">
        <v>132</v>
      </c>
      <c r="J77" s="13" t="s">
        <v>3</v>
      </c>
      <c r="K77" s="13" t="s">
        <v>2</v>
      </c>
      <c r="L77" s="13">
        <v>8</v>
      </c>
      <c r="M77" s="13" t="s">
        <v>140</v>
      </c>
      <c r="N77" s="13" t="s">
        <v>144</v>
      </c>
      <c r="O77" s="13">
        <v>1</v>
      </c>
      <c r="P77" s="11" t="str" cm="1">
        <f t="array" ref="P77:R77">_xlfn.XLOOKUP(Tabelle3[[#This Row],[filename]],Answer_Button_Distribution!$A$2:$A$153,Answer_Button_Distribution!$E$2:$G$153,"",0,1)</f>
        <v>false</v>
      </c>
      <c r="Q77" s="13" t="str">
        <v>true</v>
      </c>
      <c r="R77" s="13" t="str">
        <v>EMPTY</v>
      </c>
      <c r="S77" s="13"/>
      <c r="T77" s="13"/>
      <c r="U77" s="13"/>
      <c r="V77" s="13"/>
      <c r="W77" s="13"/>
    </row>
    <row r="78" spans="1:23" x14ac:dyDescent="0.25">
      <c r="A78" s="12" t="s">
        <v>62</v>
      </c>
      <c r="B78" s="12">
        <v>2</v>
      </c>
      <c r="C78" s="12" t="s">
        <v>193</v>
      </c>
      <c r="D78" s="12">
        <v>18</v>
      </c>
      <c r="E78" s="12" t="s">
        <v>140</v>
      </c>
      <c r="F78" s="12" t="s">
        <v>143</v>
      </c>
      <c r="G78" s="12">
        <v>0</v>
      </c>
      <c r="I78" s="13" t="s">
        <v>212</v>
      </c>
      <c r="J78" s="13" t="s">
        <v>218</v>
      </c>
      <c r="K78" s="13" t="s">
        <v>413</v>
      </c>
      <c r="L78" s="13">
        <v>15</v>
      </c>
      <c r="M78" s="13" t="s">
        <v>140</v>
      </c>
      <c r="N78" s="13" t="s">
        <v>144</v>
      </c>
      <c r="O78" s="13">
        <v>1</v>
      </c>
      <c r="P78" s="11" t="str" cm="1">
        <f t="array" ref="P78:R78">_xlfn.XLOOKUP(Tabelle3[[#This Row],[filename]],Answer_Button_Distribution!$A$2:$A$153,Answer_Button_Distribution!$E$2:$G$153,"",0,1)</f>
        <v>62.0</v>
      </c>
      <c r="Q78" s="13" t="str">
        <v>63.0</v>
      </c>
      <c r="R78" s="13" t="str">
        <v>312.0</v>
      </c>
      <c r="S78" s="13"/>
      <c r="T78" s="13"/>
      <c r="U78" s="13"/>
      <c r="V78" s="13"/>
      <c r="W78" s="13"/>
    </row>
    <row r="79" spans="1:23" x14ac:dyDescent="0.25">
      <c r="A79" s="12" t="s">
        <v>63</v>
      </c>
      <c r="B79" s="12">
        <v>2</v>
      </c>
      <c r="C79" s="12" t="s">
        <v>193</v>
      </c>
      <c r="D79" s="12">
        <v>18</v>
      </c>
      <c r="E79" s="12" t="s">
        <v>141</v>
      </c>
      <c r="F79" s="12" t="s">
        <v>143</v>
      </c>
      <c r="G79" s="12">
        <v>1</v>
      </c>
      <c r="Q79" s="13"/>
      <c r="R79" s="13"/>
      <c r="S79" s="13"/>
      <c r="T79" s="13"/>
      <c r="U79" s="13"/>
      <c r="V79" s="13"/>
      <c r="W79" s="13"/>
    </row>
    <row r="80" spans="1:23" x14ac:dyDescent="0.25">
      <c r="A80" s="12" t="s">
        <v>64</v>
      </c>
      <c r="B80" s="12" t="s">
        <v>2</v>
      </c>
      <c r="C80" s="12" t="s">
        <v>3</v>
      </c>
      <c r="D80" s="12">
        <v>30</v>
      </c>
      <c r="E80" s="12" t="s">
        <v>140</v>
      </c>
      <c r="F80" s="12" t="s">
        <v>143</v>
      </c>
      <c r="G80" s="12">
        <v>0</v>
      </c>
      <c r="Q80" s="13"/>
      <c r="R80" s="13"/>
      <c r="S80" s="13"/>
      <c r="T80" s="13"/>
      <c r="U80" s="13"/>
      <c r="V80" s="13"/>
      <c r="W80" s="13"/>
    </row>
    <row r="81" spans="1:23" x14ac:dyDescent="0.25">
      <c r="A81" s="12" t="s">
        <v>65</v>
      </c>
      <c r="B81" s="12" t="s">
        <v>2</v>
      </c>
      <c r="C81" s="12" t="s">
        <v>3</v>
      </c>
      <c r="D81" s="12">
        <v>30</v>
      </c>
      <c r="E81" s="12" t="s">
        <v>141</v>
      </c>
      <c r="F81" s="12" t="s">
        <v>143</v>
      </c>
      <c r="G81" s="12">
        <v>1</v>
      </c>
      <c r="Q81" s="13"/>
      <c r="R81" s="13"/>
      <c r="S81" s="13"/>
      <c r="T81" s="13"/>
      <c r="U81" s="13"/>
      <c r="V81" s="13"/>
      <c r="W81" s="13"/>
    </row>
    <row r="82" spans="1:23" x14ac:dyDescent="0.25">
      <c r="A82" s="12" t="s">
        <v>68</v>
      </c>
      <c r="B82" s="12">
        <v>22</v>
      </c>
      <c r="C82" s="12" t="s">
        <v>169</v>
      </c>
      <c r="D82" s="12">
        <v>49</v>
      </c>
      <c r="E82" s="12" t="s">
        <v>140</v>
      </c>
      <c r="F82" s="12" t="s">
        <v>143</v>
      </c>
      <c r="G82" s="12">
        <v>0</v>
      </c>
      <c r="Q82" s="15"/>
      <c r="R82" s="13"/>
      <c r="S82" s="13"/>
      <c r="T82" s="13"/>
      <c r="U82" s="13"/>
      <c r="V82" s="13"/>
      <c r="W82" s="13"/>
    </row>
    <row r="83" spans="1:23" x14ac:dyDescent="0.25">
      <c r="A83" s="12" t="s">
        <v>69</v>
      </c>
      <c r="B83" s="12">
        <v>22</v>
      </c>
      <c r="C83" s="12" t="s">
        <v>169</v>
      </c>
      <c r="D83" s="12">
        <v>49</v>
      </c>
      <c r="E83" s="12" t="s">
        <v>141</v>
      </c>
      <c r="F83" s="12" t="s">
        <v>143</v>
      </c>
      <c r="G83" s="12">
        <v>1</v>
      </c>
      <c r="Q83" s="13"/>
      <c r="R83" s="13"/>
      <c r="S83" s="13"/>
      <c r="T83" s="13"/>
      <c r="U83" s="13"/>
      <c r="V83" s="13"/>
      <c r="W83" s="13"/>
    </row>
    <row r="84" spans="1:23" x14ac:dyDescent="0.25">
      <c r="A84" s="12" t="s">
        <v>72</v>
      </c>
      <c r="B84" s="12">
        <v>9</v>
      </c>
      <c r="C84" s="12" t="s">
        <v>170</v>
      </c>
      <c r="D84" s="12">
        <v>54</v>
      </c>
      <c r="E84" s="12" t="s">
        <v>140</v>
      </c>
      <c r="F84" s="12" t="s">
        <v>143</v>
      </c>
      <c r="G84" s="12">
        <v>1</v>
      </c>
      <c r="Q84" s="14"/>
      <c r="R84" s="14"/>
      <c r="S84" s="14"/>
      <c r="T84" s="14"/>
      <c r="U84" s="14"/>
      <c r="V84" s="14"/>
      <c r="W84" s="14"/>
    </row>
    <row r="85" spans="1:23" x14ac:dyDescent="0.25">
      <c r="A85" s="12" t="s">
        <v>73</v>
      </c>
      <c r="B85" s="12">
        <v>9</v>
      </c>
      <c r="C85" s="12" t="s">
        <v>170</v>
      </c>
      <c r="D85" s="12">
        <v>54</v>
      </c>
      <c r="E85" s="12" t="s">
        <v>141</v>
      </c>
      <c r="F85" s="12" t="s">
        <v>143</v>
      </c>
      <c r="G85" s="12">
        <v>0</v>
      </c>
    </row>
    <row r="86" spans="1:23" x14ac:dyDescent="0.25">
      <c r="A86" s="12" t="s">
        <v>74</v>
      </c>
      <c r="B86" s="12">
        <v>10</v>
      </c>
      <c r="C86" s="12" t="s">
        <v>194</v>
      </c>
      <c r="D86" s="12">
        <v>57</v>
      </c>
      <c r="E86" s="12" t="s">
        <v>140</v>
      </c>
      <c r="F86" s="12" t="s">
        <v>143</v>
      </c>
      <c r="G86" s="12">
        <v>1</v>
      </c>
    </row>
    <row r="87" spans="1:23" x14ac:dyDescent="0.25">
      <c r="A87" s="12" t="s">
        <v>75</v>
      </c>
      <c r="B87" s="12">
        <v>10</v>
      </c>
      <c r="C87" s="12" t="s">
        <v>194</v>
      </c>
      <c r="D87" s="12">
        <v>57</v>
      </c>
      <c r="E87" s="12" t="s">
        <v>141</v>
      </c>
      <c r="F87" s="12" t="s">
        <v>143</v>
      </c>
      <c r="G87" s="12">
        <v>0</v>
      </c>
    </row>
    <row r="88" spans="1:23" x14ac:dyDescent="0.25">
      <c r="A88" s="12" t="s">
        <v>78</v>
      </c>
      <c r="B88" s="12">
        <v>0</v>
      </c>
      <c r="C88" s="12" t="s">
        <v>171</v>
      </c>
      <c r="D88" s="12">
        <v>60</v>
      </c>
      <c r="E88" s="12" t="s">
        <v>140</v>
      </c>
      <c r="F88" s="12" t="s">
        <v>143</v>
      </c>
      <c r="G88" s="12">
        <v>1</v>
      </c>
    </row>
    <row r="89" spans="1:23" x14ac:dyDescent="0.25">
      <c r="A89" s="12" t="s">
        <v>79</v>
      </c>
      <c r="B89" s="12">
        <v>0</v>
      </c>
      <c r="C89" s="12" t="s">
        <v>171</v>
      </c>
      <c r="D89" s="12">
        <v>60</v>
      </c>
      <c r="E89" s="12" t="s">
        <v>141</v>
      </c>
      <c r="F89" s="12" t="s">
        <v>143</v>
      </c>
      <c r="G89" s="12">
        <v>0</v>
      </c>
    </row>
    <row r="90" spans="1:23" x14ac:dyDescent="0.25">
      <c r="A90" s="12" t="s">
        <v>80</v>
      </c>
      <c r="B90" s="12">
        <v>256</v>
      </c>
      <c r="C90" s="12" t="s">
        <v>172</v>
      </c>
      <c r="D90" s="12">
        <v>61</v>
      </c>
      <c r="E90" s="12" t="s">
        <v>140</v>
      </c>
      <c r="F90" s="12" t="s">
        <v>143</v>
      </c>
      <c r="G90" s="12">
        <v>0</v>
      </c>
    </row>
    <row r="91" spans="1:23" x14ac:dyDescent="0.25">
      <c r="A91" s="12" t="s">
        <v>81</v>
      </c>
      <c r="B91" s="12">
        <v>256</v>
      </c>
      <c r="C91" s="12" t="s">
        <v>172</v>
      </c>
      <c r="D91" s="12">
        <v>61</v>
      </c>
      <c r="E91" s="12" t="s">
        <v>141</v>
      </c>
      <c r="F91" s="12" t="s">
        <v>143</v>
      </c>
      <c r="G91" s="12">
        <v>1</v>
      </c>
    </row>
    <row r="92" spans="1:23" x14ac:dyDescent="0.25">
      <c r="A92" s="12" t="s">
        <v>82</v>
      </c>
      <c r="B92" s="12">
        <v>60</v>
      </c>
      <c r="C92" s="12" t="s">
        <v>173</v>
      </c>
      <c r="D92" s="12">
        <v>62</v>
      </c>
      <c r="E92" s="12" t="s">
        <v>140</v>
      </c>
      <c r="F92" s="12" t="s">
        <v>143</v>
      </c>
      <c r="G92" s="12">
        <v>0</v>
      </c>
    </row>
    <row r="93" spans="1:23" x14ac:dyDescent="0.25">
      <c r="A93" s="12" t="s">
        <v>83</v>
      </c>
      <c r="B93" s="12">
        <v>60</v>
      </c>
      <c r="C93" s="12" t="s">
        <v>173</v>
      </c>
      <c r="D93" s="12">
        <v>62</v>
      </c>
      <c r="E93" s="12" t="s">
        <v>141</v>
      </c>
      <c r="F93" s="12" t="s">
        <v>143</v>
      </c>
      <c r="G93" s="12">
        <v>1</v>
      </c>
    </row>
    <row r="94" spans="1:23" x14ac:dyDescent="0.25">
      <c r="A94" s="12" t="s">
        <v>84</v>
      </c>
      <c r="B94" s="12">
        <v>5</v>
      </c>
      <c r="C94" s="12" t="s">
        <v>167</v>
      </c>
      <c r="D94" s="12">
        <v>63</v>
      </c>
      <c r="E94" s="12" t="s">
        <v>140</v>
      </c>
      <c r="F94" s="12" t="s">
        <v>143</v>
      </c>
      <c r="G94" s="12">
        <v>1</v>
      </c>
    </row>
    <row r="95" spans="1:23" x14ac:dyDescent="0.25">
      <c r="A95" s="12" t="s">
        <v>85</v>
      </c>
      <c r="B95" s="12">
        <v>5</v>
      </c>
      <c r="C95" s="12" t="s">
        <v>167</v>
      </c>
      <c r="D95" s="12">
        <v>63</v>
      </c>
      <c r="E95" s="12" t="s">
        <v>141</v>
      </c>
      <c r="F95" s="12" t="s">
        <v>143</v>
      </c>
      <c r="G95" s="12">
        <v>0</v>
      </c>
    </row>
    <row r="96" spans="1:23" x14ac:dyDescent="0.25">
      <c r="A96" s="17" t="s">
        <v>145</v>
      </c>
      <c r="B96" s="12" t="s">
        <v>3</v>
      </c>
      <c r="C96" s="12" t="s">
        <v>2</v>
      </c>
      <c r="E96" s="12" t="s">
        <v>140</v>
      </c>
      <c r="F96" s="12" t="s">
        <v>143</v>
      </c>
      <c r="G96" s="12">
        <v>1</v>
      </c>
    </row>
    <row r="97" spans="1:7" x14ac:dyDescent="0.25">
      <c r="A97" s="17" t="s">
        <v>146</v>
      </c>
      <c r="B97" s="12" t="s">
        <v>3</v>
      </c>
      <c r="C97" s="12" t="s">
        <v>2</v>
      </c>
      <c r="E97" s="12" t="s">
        <v>141</v>
      </c>
      <c r="F97" s="12" t="s">
        <v>143</v>
      </c>
      <c r="G97" s="12">
        <v>0</v>
      </c>
    </row>
    <row r="98" spans="1:7" x14ac:dyDescent="0.25">
      <c r="A98" s="12" t="s">
        <v>110</v>
      </c>
      <c r="B98" s="12">
        <v>7</v>
      </c>
      <c r="C98" s="12" t="s">
        <v>195</v>
      </c>
      <c r="D98" s="12">
        <v>4</v>
      </c>
      <c r="E98" s="12" t="s">
        <v>140</v>
      </c>
      <c r="F98" s="12" t="s">
        <v>144</v>
      </c>
      <c r="G98" s="12">
        <v>0</v>
      </c>
    </row>
    <row r="99" spans="1:7" x14ac:dyDescent="0.25">
      <c r="A99" s="12" t="s">
        <v>111</v>
      </c>
      <c r="B99" s="12">
        <v>7</v>
      </c>
      <c r="C99" s="12" t="s">
        <v>195</v>
      </c>
      <c r="D99" s="12">
        <v>4</v>
      </c>
      <c r="E99" s="12" t="s">
        <v>141</v>
      </c>
      <c r="F99" s="12" t="s">
        <v>144</v>
      </c>
      <c r="G99" s="12">
        <v>1</v>
      </c>
    </row>
    <row r="100" spans="1:7" x14ac:dyDescent="0.25">
      <c r="A100" s="12" t="s">
        <v>114</v>
      </c>
      <c r="B100" s="12" t="s">
        <v>3</v>
      </c>
      <c r="C100" s="12" t="s">
        <v>2</v>
      </c>
      <c r="D100" s="12">
        <v>5</v>
      </c>
      <c r="E100" s="12" t="s">
        <v>140</v>
      </c>
      <c r="F100" s="12" t="s">
        <v>144</v>
      </c>
      <c r="G100" s="12">
        <v>0</v>
      </c>
    </row>
    <row r="101" spans="1:7" x14ac:dyDescent="0.25">
      <c r="A101" s="12" t="s">
        <v>115</v>
      </c>
      <c r="B101" s="12" t="s">
        <v>3</v>
      </c>
      <c r="C101" s="12" t="s">
        <v>2</v>
      </c>
      <c r="D101" s="12">
        <v>5</v>
      </c>
      <c r="E101" s="12" t="s">
        <v>141</v>
      </c>
      <c r="F101" s="12" t="s">
        <v>144</v>
      </c>
      <c r="G101" s="12">
        <v>1</v>
      </c>
    </row>
    <row r="102" spans="1:7" x14ac:dyDescent="0.25">
      <c r="A102" s="12" t="s">
        <v>120</v>
      </c>
      <c r="B102" s="12" t="s">
        <v>2</v>
      </c>
      <c r="C102" s="12" t="s">
        <v>3</v>
      </c>
      <c r="D102" s="12">
        <v>6</v>
      </c>
      <c r="E102" s="12" t="s">
        <v>140</v>
      </c>
      <c r="F102" s="12" t="s">
        <v>144</v>
      </c>
      <c r="G102" s="12">
        <v>1</v>
      </c>
    </row>
    <row r="103" spans="1:7" x14ac:dyDescent="0.25">
      <c r="A103" s="12" t="s">
        <v>121</v>
      </c>
      <c r="B103" s="12" t="s">
        <v>2</v>
      </c>
      <c r="C103" s="12" t="s">
        <v>3</v>
      </c>
      <c r="D103" s="12">
        <v>6</v>
      </c>
      <c r="E103" s="12" t="s">
        <v>141</v>
      </c>
      <c r="F103" s="12" t="s">
        <v>144</v>
      </c>
      <c r="G103" s="12">
        <v>0</v>
      </c>
    </row>
    <row r="104" spans="1:7" x14ac:dyDescent="0.25">
      <c r="A104" s="12" t="s">
        <v>130</v>
      </c>
      <c r="B104" s="12">
        <v>8</v>
      </c>
      <c r="C104" s="12" t="s">
        <v>417</v>
      </c>
      <c r="D104" s="12">
        <v>7</v>
      </c>
      <c r="E104" s="12" t="s">
        <v>140</v>
      </c>
      <c r="F104" s="12" t="s">
        <v>144</v>
      </c>
      <c r="G104" s="12">
        <v>0</v>
      </c>
    </row>
    <row r="105" spans="1:7" x14ac:dyDescent="0.25">
      <c r="A105" s="12" t="s">
        <v>131</v>
      </c>
      <c r="B105" s="12">
        <v>8</v>
      </c>
      <c r="C105" s="12" t="s">
        <v>417</v>
      </c>
      <c r="D105" s="12">
        <v>7</v>
      </c>
      <c r="E105" s="12" t="s">
        <v>141</v>
      </c>
      <c r="F105" s="12" t="s">
        <v>144</v>
      </c>
      <c r="G105" s="12">
        <v>1</v>
      </c>
    </row>
    <row r="106" spans="1:7" x14ac:dyDescent="0.25">
      <c r="A106" s="12" t="s">
        <v>132</v>
      </c>
      <c r="B106" s="12" t="s">
        <v>3</v>
      </c>
      <c r="C106" s="12" t="s">
        <v>2</v>
      </c>
      <c r="D106" s="12">
        <v>8</v>
      </c>
      <c r="E106" s="12" t="s">
        <v>140</v>
      </c>
      <c r="F106" s="12" t="s">
        <v>144</v>
      </c>
      <c r="G106" s="12">
        <v>1</v>
      </c>
    </row>
    <row r="107" spans="1:7" x14ac:dyDescent="0.25">
      <c r="A107" s="12" t="s">
        <v>133</v>
      </c>
      <c r="B107" s="12" t="s">
        <v>3</v>
      </c>
      <c r="C107" s="12" t="s">
        <v>2</v>
      </c>
      <c r="D107" s="12">
        <v>8</v>
      </c>
      <c r="E107" s="12" t="s">
        <v>141</v>
      </c>
      <c r="F107" s="12" t="s">
        <v>144</v>
      </c>
      <c r="G107" s="12">
        <v>0</v>
      </c>
    </row>
    <row r="108" spans="1:7" x14ac:dyDescent="0.25">
      <c r="A108" s="12" t="s">
        <v>134</v>
      </c>
      <c r="B108" s="12" t="s">
        <v>3</v>
      </c>
      <c r="C108" s="12" t="s">
        <v>2</v>
      </c>
      <c r="D108" s="12">
        <v>9</v>
      </c>
      <c r="E108" s="12" t="s">
        <v>140</v>
      </c>
      <c r="F108" s="12" t="s">
        <v>144</v>
      </c>
      <c r="G108" s="12">
        <v>1</v>
      </c>
    </row>
    <row r="109" spans="1:7" x14ac:dyDescent="0.25">
      <c r="A109" s="12" t="s">
        <v>135</v>
      </c>
      <c r="B109" s="12" t="s">
        <v>3</v>
      </c>
      <c r="C109" s="12" t="s">
        <v>2</v>
      </c>
      <c r="D109" s="12">
        <v>9</v>
      </c>
      <c r="E109" s="12" t="s">
        <v>141</v>
      </c>
      <c r="F109" s="12" t="s">
        <v>144</v>
      </c>
      <c r="G109" s="12">
        <v>0</v>
      </c>
    </row>
    <row r="110" spans="1:7" x14ac:dyDescent="0.25">
      <c r="A110" s="12" t="s">
        <v>92</v>
      </c>
      <c r="B110" s="12">
        <v>7</v>
      </c>
      <c r="C110" s="12" t="s">
        <v>175</v>
      </c>
      <c r="D110" s="12">
        <v>10</v>
      </c>
      <c r="E110" s="12" t="s">
        <v>140</v>
      </c>
      <c r="F110" s="12" t="s">
        <v>144</v>
      </c>
      <c r="G110" s="12">
        <v>0</v>
      </c>
    </row>
    <row r="111" spans="1:7" x14ac:dyDescent="0.25">
      <c r="A111" s="12" t="s">
        <v>93</v>
      </c>
      <c r="B111" s="12">
        <v>7</v>
      </c>
      <c r="C111" s="12" t="s">
        <v>175</v>
      </c>
      <c r="D111" s="12">
        <v>10</v>
      </c>
      <c r="E111" s="12" t="s">
        <v>141</v>
      </c>
      <c r="F111" s="12" t="s">
        <v>144</v>
      </c>
      <c r="G111" s="12">
        <v>1</v>
      </c>
    </row>
    <row r="112" spans="1:7" x14ac:dyDescent="0.25">
      <c r="A112" s="12" t="s">
        <v>94</v>
      </c>
      <c r="B112" s="12" t="s">
        <v>3</v>
      </c>
      <c r="C112" s="12" t="s">
        <v>2</v>
      </c>
      <c r="D112" s="12">
        <v>11</v>
      </c>
      <c r="E112" s="12" t="s">
        <v>140</v>
      </c>
      <c r="F112" s="12" t="s">
        <v>144</v>
      </c>
      <c r="G112" s="12">
        <v>0</v>
      </c>
    </row>
    <row r="113" spans="1:7" x14ac:dyDescent="0.25">
      <c r="A113" s="12" t="s">
        <v>95</v>
      </c>
      <c r="B113" s="12" t="s">
        <v>3</v>
      </c>
      <c r="C113" s="12" t="s">
        <v>2</v>
      </c>
      <c r="D113" s="12">
        <v>11</v>
      </c>
      <c r="E113" s="12" t="s">
        <v>141</v>
      </c>
      <c r="F113" s="12" t="s">
        <v>144</v>
      </c>
      <c r="G113" s="12">
        <v>1</v>
      </c>
    </row>
    <row r="114" spans="1:7" x14ac:dyDescent="0.25">
      <c r="A114" s="12" t="s">
        <v>96</v>
      </c>
      <c r="B114" s="12">
        <v>4</v>
      </c>
      <c r="C114" s="12" t="s">
        <v>176</v>
      </c>
      <c r="D114" s="12">
        <v>12</v>
      </c>
      <c r="E114" s="12" t="s">
        <v>140</v>
      </c>
      <c r="F114" s="12" t="s">
        <v>144</v>
      </c>
      <c r="G114" s="12">
        <v>1</v>
      </c>
    </row>
    <row r="115" spans="1:7" x14ac:dyDescent="0.25">
      <c r="A115" s="12" t="s">
        <v>97</v>
      </c>
      <c r="B115" s="12">
        <v>4</v>
      </c>
      <c r="C115" s="12" t="s">
        <v>176</v>
      </c>
      <c r="D115" s="12">
        <v>12</v>
      </c>
      <c r="E115" s="12" t="s">
        <v>141</v>
      </c>
      <c r="F115" s="12" t="s">
        <v>144</v>
      </c>
      <c r="G115" s="12">
        <v>0</v>
      </c>
    </row>
    <row r="116" spans="1:7" x14ac:dyDescent="0.25">
      <c r="A116" s="12" t="s">
        <v>98</v>
      </c>
      <c r="B116" s="12">
        <v>5</v>
      </c>
      <c r="C116" s="12" t="s">
        <v>164</v>
      </c>
      <c r="D116" s="12">
        <v>13</v>
      </c>
      <c r="E116" s="12" t="s">
        <v>140</v>
      </c>
      <c r="F116" s="12" t="s">
        <v>144</v>
      </c>
      <c r="G116" s="12">
        <v>0</v>
      </c>
    </row>
    <row r="117" spans="1:7" x14ac:dyDescent="0.25">
      <c r="A117" s="12" t="s">
        <v>99</v>
      </c>
      <c r="B117" s="12">
        <v>5</v>
      </c>
      <c r="C117" s="12" t="s">
        <v>164</v>
      </c>
      <c r="D117" s="12">
        <v>13</v>
      </c>
      <c r="E117" s="12" t="s">
        <v>141</v>
      </c>
      <c r="F117" s="12" t="s">
        <v>144</v>
      </c>
      <c r="G117" s="12">
        <v>1</v>
      </c>
    </row>
    <row r="118" spans="1:7" x14ac:dyDescent="0.25">
      <c r="A118" s="12" t="s">
        <v>100</v>
      </c>
      <c r="B118" s="12">
        <v>27</v>
      </c>
      <c r="C118" s="12" t="s">
        <v>174</v>
      </c>
      <c r="D118" s="12">
        <v>14</v>
      </c>
      <c r="E118" s="12" t="s">
        <v>140</v>
      </c>
      <c r="F118" s="12" t="s">
        <v>144</v>
      </c>
      <c r="G118" s="12">
        <v>0</v>
      </c>
    </row>
    <row r="119" spans="1:7" x14ac:dyDescent="0.25">
      <c r="A119" s="12" t="s">
        <v>101</v>
      </c>
      <c r="B119" s="12">
        <v>27</v>
      </c>
      <c r="C119" s="12" t="s">
        <v>174</v>
      </c>
      <c r="D119" s="12">
        <v>14</v>
      </c>
      <c r="E119" s="12" t="s">
        <v>141</v>
      </c>
      <c r="F119" s="12" t="s">
        <v>144</v>
      </c>
      <c r="G119" s="12">
        <v>1</v>
      </c>
    </row>
    <row r="120" spans="1:7" x14ac:dyDescent="0.25">
      <c r="A120" s="12" t="s">
        <v>212</v>
      </c>
      <c r="B120" s="12" t="s">
        <v>218</v>
      </c>
      <c r="C120" s="12" t="s">
        <v>413</v>
      </c>
      <c r="D120" s="12">
        <v>15</v>
      </c>
      <c r="E120" s="12" t="s">
        <v>140</v>
      </c>
      <c r="F120" s="12" t="s">
        <v>144</v>
      </c>
      <c r="G120" s="12">
        <v>1</v>
      </c>
    </row>
    <row r="121" spans="1:7" x14ac:dyDescent="0.25">
      <c r="A121" s="12" t="s">
        <v>215</v>
      </c>
      <c r="B121" s="12" t="s">
        <v>218</v>
      </c>
      <c r="C121" s="12" t="s">
        <v>413</v>
      </c>
      <c r="D121" s="12">
        <v>15</v>
      </c>
      <c r="E121" s="12" t="s">
        <v>141</v>
      </c>
      <c r="F121" s="12" t="s">
        <v>144</v>
      </c>
      <c r="G121" s="12">
        <v>0</v>
      </c>
    </row>
    <row r="122" spans="1:7" x14ac:dyDescent="0.25">
      <c r="A122" s="12" t="s">
        <v>102</v>
      </c>
      <c r="B122" s="12">
        <v>6</v>
      </c>
      <c r="C122" s="12" t="s">
        <v>177</v>
      </c>
      <c r="D122" s="12">
        <v>16</v>
      </c>
      <c r="E122" s="12" t="s">
        <v>140</v>
      </c>
      <c r="F122" s="12" t="s">
        <v>144</v>
      </c>
      <c r="G122" s="12">
        <v>1</v>
      </c>
    </row>
    <row r="123" spans="1:7" x14ac:dyDescent="0.25">
      <c r="A123" s="12" t="s">
        <v>103</v>
      </c>
      <c r="B123" s="12">
        <v>6</v>
      </c>
      <c r="C123" s="12" t="s">
        <v>177</v>
      </c>
      <c r="D123" s="12">
        <v>16</v>
      </c>
      <c r="E123" s="12" t="s">
        <v>141</v>
      </c>
      <c r="F123" s="12" t="s">
        <v>144</v>
      </c>
      <c r="G123" s="12">
        <v>0</v>
      </c>
    </row>
    <row r="124" spans="1:7" x14ac:dyDescent="0.25">
      <c r="A124" s="12" t="s">
        <v>104</v>
      </c>
      <c r="B124" s="12">
        <v>9</v>
      </c>
      <c r="C124" s="12" t="s">
        <v>178</v>
      </c>
      <c r="D124" s="12">
        <v>17</v>
      </c>
      <c r="E124" s="12" t="s">
        <v>140</v>
      </c>
      <c r="F124" s="12" t="s">
        <v>144</v>
      </c>
      <c r="G124" s="12">
        <v>1</v>
      </c>
    </row>
    <row r="125" spans="1:7" x14ac:dyDescent="0.25">
      <c r="A125" s="12" t="s">
        <v>105</v>
      </c>
      <c r="B125" s="12">
        <v>9</v>
      </c>
      <c r="C125" s="12" t="s">
        <v>178</v>
      </c>
      <c r="D125" s="12">
        <v>17</v>
      </c>
      <c r="E125" s="12" t="s">
        <v>141</v>
      </c>
      <c r="F125" s="12" t="s">
        <v>144</v>
      </c>
      <c r="G125" s="12">
        <v>0</v>
      </c>
    </row>
    <row r="126" spans="1:7" x14ac:dyDescent="0.25">
      <c r="A126" s="12" t="s">
        <v>106</v>
      </c>
      <c r="B126" s="12">
        <v>6</v>
      </c>
      <c r="C126" s="12" t="s">
        <v>158</v>
      </c>
      <c r="D126" s="12">
        <v>18</v>
      </c>
      <c r="E126" s="12" t="s">
        <v>140</v>
      </c>
      <c r="F126" s="12" t="s">
        <v>144</v>
      </c>
      <c r="G126" s="12">
        <v>0</v>
      </c>
    </row>
    <row r="127" spans="1:7" x14ac:dyDescent="0.25">
      <c r="A127" s="12" t="s">
        <v>107</v>
      </c>
      <c r="B127" s="12">
        <v>6</v>
      </c>
      <c r="C127" s="12" t="s">
        <v>158</v>
      </c>
      <c r="D127" s="12">
        <v>18</v>
      </c>
      <c r="E127" s="12" t="s">
        <v>141</v>
      </c>
      <c r="F127" s="12" t="s">
        <v>144</v>
      </c>
      <c r="G127" s="12">
        <v>1</v>
      </c>
    </row>
    <row r="128" spans="1:7" x14ac:dyDescent="0.25">
      <c r="A128" s="12" t="s">
        <v>108</v>
      </c>
      <c r="B128" s="12" t="s">
        <v>3</v>
      </c>
      <c r="C128" s="12" t="s">
        <v>2</v>
      </c>
      <c r="D128" s="12">
        <v>30</v>
      </c>
      <c r="E128" s="12" t="s">
        <v>140</v>
      </c>
      <c r="F128" s="12" t="s">
        <v>144</v>
      </c>
      <c r="G128" s="12">
        <v>0</v>
      </c>
    </row>
    <row r="129" spans="1:7" x14ac:dyDescent="0.25">
      <c r="A129" s="12" t="s">
        <v>109</v>
      </c>
      <c r="B129" s="12" t="s">
        <v>3</v>
      </c>
      <c r="C129" s="12" t="s">
        <v>2</v>
      </c>
      <c r="D129" s="12">
        <v>30</v>
      </c>
      <c r="E129" s="12" t="s">
        <v>141</v>
      </c>
      <c r="F129" s="12" t="s">
        <v>144</v>
      </c>
      <c r="G129" s="12">
        <v>1</v>
      </c>
    </row>
    <row r="130" spans="1:7" x14ac:dyDescent="0.25">
      <c r="A130" s="12" t="s">
        <v>112</v>
      </c>
      <c r="B130" s="12">
        <v>42</v>
      </c>
      <c r="C130" s="12" t="s">
        <v>179</v>
      </c>
      <c r="D130" s="12">
        <v>49</v>
      </c>
      <c r="E130" s="12" t="s">
        <v>140</v>
      </c>
      <c r="F130" s="12" t="s">
        <v>144</v>
      </c>
      <c r="G130" s="12">
        <v>0</v>
      </c>
    </row>
    <row r="131" spans="1:7" x14ac:dyDescent="0.25">
      <c r="A131" s="12" t="s">
        <v>113</v>
      </c>
      <c r="B131" s="12">
        <v>42</v>
      </c>
      <c r="C131" s="12" t="s">
        <v>179</v>
      </c>
      <c r="D131" s="12">
        <v>49</v>
      </c>
      <c r="E131" s="12" t="s">
        <v>141</v>
      </c>
      <c r="F131" s="12" t="s">
        <v>144</v>
      </c>
      <c r="G131" s="12">
        <v>1</v>
      </c>
    </row>
    <row r="132" spans="1:7" x14ac:dyDescent="0.25">
      <c r="A132" s="12" t="s">
        <v>116</v>
      </c>
      <c r="B132" s="12">
        <v>0</v>
      </c>
      <c r="C132" s="12" t="s">
        <v>163</v>
      </c>
      <c r="D132" s="12">
        <v>54</v>
      </c>
      <c r="E132" s="12" t="s">
        <v>140</v>
      </c>
      <c r="F132" s="12" t="s">
        <v>144</v>
      </c>
      <c r="G132" s="12">
        <v>1</v>
      </c>
    </row>
    <row r="133" spans="1:7" x14ac:dyDescent="0.25">
      <c r="A133" s="12" t="s">
        <v>117</v>
      </c>
      <c r="B133" s="12">
        <v>0</v>
      </c>
      <c r="C133" s="12" t="s">
        <v>163</v>
      </c>
      <c r="D133" s="12">
        <v>54</v>
      </c>
      <c r="E133" s="12" t="s">
        <v>141</v>
      </c>
      <c r="F133" s="12" t="s">
        <v>144</v>
      </c>
      <c r="G133" s="12">
        <v>0</v>
      </c>
    </row>
    <row r="134" spans="1:7" x14ac:dyDescent="0.25">
      <c r="A134" s="12" t="s">
        <v>118</v>
      </c>
      <c r="B134" s="12">
        <v>21</v>
      </c>
      <c r="C134" s="12" t="s">
        <v>180</v>
      </c>
      <c r="D134" s="12">
        <v>57</v>
      </c>
      <c r="E134" s="12" t="s">
        <v>140</v>
      </c>
      <c r="F134" s="12" t="s">
        <v>144</v>
      </c>
      <c r="G134" s="12">
        <v>1</v>
      </c>
    </row>
    <row r="135" spans="1:7" x14ac:dyDescent="0.25">
      <c r="A135" s="12" t="s">
        <v>119</v>
      </c>
      <c r="B135" s="12">
        <v>21</v>
      </c>
      <c r="C135" s="12" t="s">
        <v>180</v>
      </c>
      <c r="D135" s="12">
        <v>57</v>
      </c>
      <c r="E135" s="12" t="s">
        <v>141</v>
      </c>
      <c r="F135" s="12" t="s">
        <v>144</v>
      </c>
      <c r="G135" s="12">
        <v>0</v>
      </c>
    </row>
    <row r="136" spans="1:7" x14ac:dyDescent="0.25">
      <c r="A136" s="12" t="s">
        <v>122</v>
      </c>
      <c r="B136" s="12">
        <v>40</v>
      </c>
      <c r="C136" s="12" t="s">
        <v>181</v>
      </c>
      <c r="D136" s="12">
        <v>60</v>
      </c>
      <c r="E136" s="12" t="s">
        <v>140</v>
      </c>
      <c r="F136" s="12" t="s">
        <v>144</v>
      </c>
      <c r="G136" s="12">
        <v>1</v>
      </c>
    </row>
    <row r="137" spans="1:7" x14ac:dyDescent="0.25">
      <c r="A137" s="12" t="s">
        <v>123</v>
      </c>
      <c r="B137" s="12">
        <v>40</v>
      </c>
      <c r="C137" s="12" t="s">
        <v>181</v>
      </c>
      <c r="D137" s="12">
        <v>60</v>
      </c>
      <c r="E137" s="12" t="s">
        <v>141</v>
      </c>
      <c r="F137" s="12" t="s">
        <v>144</v>
      </c>
      <c r="G137" s="12">
        <v>0</v>
      </c>
    </row>
    <row r="138" spans="1:7" x14ac:dyDescent="0.25">
      <c r="A138" s="12" t="s">
        <v>124</v>
      </c>
      <c r="B138" s="12">
        <v>66</v>
      </c>
      <c r="C138" s="12" t="s">
        <v>182</v>
      </c>
      <c r="D138" s="12">
        <v>61</v>
      </c>
      <c r="E138" s="12" t="s">
        <v>140</v>
      </c>
      <c r="F138" s="12" t="s">
        <v>144</v>
      </c>
      <c r="G138" s="12">
        <v>0</v>
      </c>
    </row>
    <row r="139" spans="1:7" x14ac:dyDescent="0.25">
      <c r="A139" s="12" t="s">
        <v>125</v>
      </c>
      <c r="B139" s="12">
        <v>66</v>
      </c>
      <c r="C139" s="12" t="s">
        <v>182</v>
      </c>
      <c r="D139" s="12">
        <v>61</v>
      </c>
      <c r="E139" s="12" t="s">
        <v>141</v>
      </c>
      <c r="F139" s="12" t="s">
        <v>144</v>
      </c>
      <c r="G139" s="12">
        <v>1</v>
      </c>
    </row>
    <row r="140" spans="1:7" x14ac:dyDescent="0.25">
      <c r="A140" s="12" t="s">
        <v>126</v>
      </c>
      <c r="B140" s="12">
        <v>50</v>
      </c>
      <c r="C140" s="12" t="s">
        <v>183</v>
      </c>
      <c r="D140" s="12">
        <v>62</v>
      </c>
      <c r="E140" s="12" t="s">
        <v>140</v>
      </c>
      <c r="F140" s="12" t="s">
        <v>144</v>
      </c>
      <c r="G140" s="12">
        <v>0</v>
      </c>
    </row>
    <row r="141" spans="1:7" x14ac:dyDescent="0.25">
      <c r="A141" s="12" t="s">
        <v>127</v>
      </c>
      <c r="B141" s="12">
        <v>50</v>
      </c>
      <c r="C141" s="12" t="s">
        <v>183</v>
      </c>
      <c r="D141" s="12">
        <v>62</v>
      </c>
      <c r="E141" s="12" t="s">
        <v>141</v>
      </c>
      <c r="F141" s="12" t="s">
        <v>144</v>
      </c>
      <c r="G141" s="12">
        <v>1</v>
      </c>
    </row>
    <row r="142" spans="1:7" x14ac:dyDescent="0.25">
      <c r="A142" s="12" t="s">
        <v>128</v>
      </c>
      <c r="B142" s="12">
        <v>80</v>
      </c>
      <c r="C142" s="12" t="s">
        <v>184</v>
      </c>
      <c r="D142" s="12">
        <v>63</v>
      </c>
      <c r="E142" s="12" t="s">
        <v>140</v>
      </c>
      <c r="F142" s="12" t="s">
        <v>144</v>
      </c>
      <c r="G142" s="12">
        <v>1</v>
      </c>
    </row>
    <row r="143" spans="1:7" x14ac:dyDescent="0.25">
      <c r="A143" s="12" t="s">
        <v>129</v>
      </c>
      <c r="B143" s="12">
        <v>80</v>
      </c>
      <c r="C143" s="12" t="s">
        <v>184</v>
      </c>
      <c r="D143" s="12">
        <v>63</v>
      </c>
      <c r="E143" s="12" t="s">
        <v>141</v>
      </c>
      <c r="F143" s="12" t="s">
        <v>144</v>
      </c>
      <c r="G143" s="12">
        <v>0</v>
      </c>
    </row>
    <row r="144" spans="1:7" x14ac:dyDescent="0.25">
      <c r="A144" s="17" t="s">
        <v>147</v>
      </c>
      <c r="B144" s="12" t="s">
        <v>3</v>
      </c>
      <c r="C144" s="12" t="s">
        <v>2</v>
      </c>
      <c r="E144" s="12" t="s">
        <v>140</v>
      </c>
      <c r="F144" s="12" t="s">
        <v>144</v>
      </c>
      <c r="G144" s="12">
        <v>1</v>
      </c>
    </row>
    <row r="145" spans="1:7" x14ac:dyDescent="0.25">
      <c r="A145" s="18" t="s">
        <v>148</v>
      </c>
      <c r="B145" s="19" t="s">
        <v>3</v>
      </c>
      <c r="C145" s="19" t="s">
        <v>2</v>
      </c>
      <c r="D145" s="19"/>
      <c r="E145" s="19" t="s">
        <v>141</v>
      </c>
      <c r="F145" s="19" t="s">
        <v>144</v>
      </c>
      <c r="G145" s="12">
        <v>0</v>
      </c>
    </row>
  </sheetData>
  <sortState xmlns:xlrd2="http://schemas.microsoft.com/office/spreadsheetml/2017/richdata2" ref="I7:O76">
    <sortCondition ref="N7:N76"/>
  </sortState>
  <phoneticPr fontId="18" type="noConversion"/>
  <pageMargins left="0.7" right="0.7" top="0.78740157499999996" bottom="0.78740157499999996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A22C-3B21-4246-9483-049A158500E0}">
  <dimension ref="A1:AC146"/>
  <sheetViews>
    <sheetView zoomScale="130" zoomScaleNormal="130" workbookViewId="0">
      <selection activeCell="A3" sqref="A3"/>
    </sheetView>
  </sheetViews>
  <sheetFormatPr baseColWidth="10" defaultRowHeight="13.8" x14ac:dyDescent="0.25"/>
  <cols>
    <col min="11" max="11" width="21.5" bestFit="1" customWidth="1"/>
    <col min="12" max="12" width="22.796875" bestFit="1" customWidth="1"/>
    <col min="13" max="13" width="15.3984375" customWidth="1"/>
    <col min="14" max="14" width="2.8984375" bestFit="1" customWidth="1"/>
    <col min="15" max="15" width="15.3984375" bestFit="1" customWidth="1"/>
    <col min="28" max="28" width="11.8984375" bestFit="1" customWidth="1"/>
  </cols>
  <sheetData>
    <row r="1" spans="1:29" x14ac:dyDescent="0.25">
      <c r="A1" t="s">
        <v>372</v>
      </c>
      <c r="E1" t="s">
        <v>373</v>
      </c>
    </row>
    <row r="2" spans="1:29" x14ac:dyDescent="0.25">
      <c r="A2" s="2" t="s">
        <v>0</v>
      </c>
      <c r="B2" s="2" t="s">
        <v>1</v>
      </c>
      <c r="C2" s="2" t="s">
        <v>366</v>
      </c>
      <c r="D2" s="2" t="s">
        <v>367</v>
      </c>
      <c r="E2" s="3" t="s">
        <v>374</v>
      </c>
      <c r="F2" s="3" t="s">
        <v>375</v>
      </c>
      <c r="G2" s="3" t="s">
        <v>376</v>
      </c>
      <c r="H2" s="3" t="s">
        <v>377</v>
      </c>
      <c r="I2" s="3" t="s">
        <v>378</v>
      </c>
      <c r="K2" s="4" t="s">
        <v>383</v>
      </c>
      <c r="L2" s="4" t="s">
        <v>382</v>
      </c>
    </row>
    <row r="3" spans="1:29" x14ac:dyDescent="0.25">
      <c r="A3" t="s">
        <v>4</v>
      </c>
      <c r="B3">
        <v>1</v>
      </c>
      <c r="C3">
        <v>0</v>
      </c>
      <c r="D3">
        <v>2</v>
      </c>
      <c r="E3" cm="1">
        <f t="array" ref="E3:G3">IF(D3="",_xlfn._xlws.SORT(B3:C3,1,1,TRUE),_xlfn._xlws.SORT(B3:D3,1,1,TRUE))</f>
        <v>0</v>
      </c>
      <c r="F3">
        <v>1</v>
      </c>
      <c r="G3">
        <v>2</v>
      </c>
      <c r="H3">
        <f>IF(B3=E3,1,IF(B3=F3,2,3))</f>
        <v>2</v>
      </c>
      <c r="I3" t="s">
        <v>155</v>
      </c>
      <c r="J3" t="str">
        <f>LEFT(A3,LEN(A3)-4)</f>
        <v>10-clean-v0</v>
      </c>
      <c r="K3" s="4" t="s">
        <v>380</v>
      </c>
      <c r="L3">
        <v>1</v>
      </c>
      <c r="M3">
        <v>2</v>
      </c>
      <c r="N3">
        <v>3</v>
      </c>
      <c r="O3" t="s">
        <v>381</v>
      </c>
      <c r="Q3" s="8"/>
      <c r="V3" t="s">
        <v>386</v>
      </c>
      <c r="W3" t="s">
        <v>387</v>
      </c>
      <c r="X3" t="s">
        <v>388</v>
      </c>
      <c r="Y3" t="s">
        <v>389</v>
      </c>
      <c r="Z3" t="s">
        <v>390</v>
      </c>
      <c r="AA3" t="s">
        <v>391</v>
      </c>
      <c r="AB3" t="s">
        <v>392</v>
      </c>
      <c r="AC3" t="s">
        <v>393</v>
      </c>
    </row>
    <row r="4" spans="1:29" x14ac:dyDescent="0.25">
      <c r="A4" t="s">
        <v>48</v>
      </c>
      <c r="B4">
        <v>-1</v>
      </c>
      <c r="C4">
        <v>0</v>
      </c>
      <c r="D4">
        <v>5</v>
      </c>
      <c r="E4" cm="1">
        <f t="array" ref="E4:G4">IF(D4="",_xlfn._xlws.SORT(B4:C4,1,1,TRUE),_xlfn._xlws.SORT(B4:D4,1,1,TRUE))</f>
        <v>-1</v>
      </c>
      <c r="F4">
        <v>0</v>
      </c>
      <c r="G4">
        <v>5</v>
      </c>
      <c r="H4">
        <f t="shared" ref="H4:H67" si="0">IF(B4=E4,1,IF(B4=F4,2,3))</f>
        <v>1</v>
      </c>
      <c r="I4" t="s">
        <v>155</v>
      </c>
      <c r="J4" t="str">
        <f t="shared" ref="J4:J67" si="1">LEFT(A4,LEN(A4)-4)</f>
        <v>10-clean-v1</v>
      </c>
      <c r="K4" s="5" t="s">
        <v>379</v>
      </c>
      <c r="L4" s="6">
        <v>20</v>
      </c>
      <c r="M4">
        <v>22</v>
      </c>
      <c r="O4">
        <v>42</v>
      </c>
      <c r="Q4" s="8"/>
    </row>
    <row r="5" spans="1:29" x14ac:dyDescent="0.25">
      <c r="A5" t="s">
        <v>92</v>
      </c>
      <c r="B5">
        <v>7</v>
      </c>
      <c r="C5">
        <v>6</v>
      </c>
      <c r="D5">
        <v>4</v>
      </c>
      <c r="E5" cm="1">
        <f t="array" ref="E5:G5">IF(D5="",_xlfn._xlws.SORT(B5:C5,1,1,TRUE),_xlfn._xlws.SORT(B5:D5,1,1,TRUE))</f>
        <v>4</v>
      </c>
      <c r="F5">
        <v>6</v>
      </c>
      <c r="G5">
        <v>7</v>
      </c>
      <c r="H5">
        <f t="shared" si="0"/>
        <v>3</v>
      </c>
      <c r="I5" t="s">
        <v>155</v>
      </c>
      <c r="J5" t="str">
        <f t="shared" si="1"/>
        <v>10-clean-v2</v>
      </c>
      <c r="K5" s="5" t="s">
        <v>155</v>
      </c>
      <c r="L5">
        <v>34</v>
      </c>
      <c r="M5">
        <v>34</v>
      </c>
      <c r="N5">
        <v>34</v>
      </c>
      <c r="O5">
        <v>102</v>
      </c>
      <c r="Q5" s="8"/>
      <c r="V5" t="s">
        <v>394</v>
      </c>
      <c r="W5" t="s">
        <v>395</v>
      </c>
      <c r="X5" t="s">
        <v>396</v>
      </c>
      <c r="Y5" t="s">
        <v>397</v>
      </c>
      <c r="Z5" t="s">
        <v>398</v>
      </c>
      <c r="AB5">
        <v>4</v>
      </c>
    </row>
    <row r="6" spans="1:29" x14ac:dyDescent="0.25">
      <c r="A6" t="s">
        <v>5</v>
      </c>
      <c r="B6">
        <v>1</v>
      </c>
      <c r="C6">
        <v>0</v>
      </c>
      <c r="D6">
        <v>2</v>
      </c>
      <c r="E6" cm="1">
        <f t="array" ref="E6:G6">IF(D6="",_xlfn._xlws.SORT(B6:C6,1,1,TRUE),_xlfn._xlws.SORT(B6:D6,1,1,TRUE))</f>
        <v>0</v>
      </c>
      <c r="F6">
        <v>1</v>
      </c>
      <c r="G6">
        <v>2</v>
      </c>
      <c r="H6">
        <f t="shared" si="0"/>
        <v>2</v>
      </c>
      <c r="I6" t="s">
        <v>155</v>
      </c>
      <c r="J6" t="str">
        <f t="shared" si="1"/>
        <v>10-obf-v0</v>
      </c>
      <c r="K6" s="5" t="s">
        <v>381</v>
      </c>
      <c r="L6">
        <v>54</v>
      </c>
      <c r="M6">
        <v>56</v>
      </c>
      <c r="N6">
        <v>34</v>
      </c>
      <c r="O6">
        <v>144</v>
      </c>
      <c r="Q6" s="8"/>
      <c r="V6" t="s">
        <v>399</v>
      </c>
      <c r="W6" t="s">
        <v>400</v>
      </c>
      <c r="X6" t="s">
        <v>401</v>
      </c>
      <c r="AB6">
        <v>2</v>
      </c>
    </row>
    <row r="7" spans="1:29" x14ac:dyDescent="0.25">
      <c r="A7" t="s">
        <v>49</v>
      </c>
      <c r="B7">
        <v>-1</v>
      </c>
      <c r="C7">
        <v>0</v>
      </c>
      <c r="D7">
        <v>5</v>
      </c>
      <c r="E7" cm="1">
        <f t="array" ref="E7:G7">IF(D7="",_xlfn._xlws.SORT(B7:C7,1,1,TRUE),_xlfn._xlws.SORT(B7:D7,1,1,TRUE))</f>
        <v>-1</v>
      </c>
      <c r="F7">
        <v>0</v>
      </c>
      <c r="G7">
        <v>5</v>
      </c>
      <c r="H7">
        <f t="shared" si="0"/>
        <v>1</v>
      </c>
      <c r="I7" t="s">
        <v>155</v>
      </c>
      <c r="J7" t="str">
        <f t="shared" si="1"/>
        <v>10-obf-v1</v>
      </c>
      <c r="Q7" s="8"/>
      <c r="V7" t="s">
        <v>402</v>
      </c>
      <c r="W7" t="s">
        <v>400</v>
      </c>
      <c r="X7" t="s">
        <v>401</v>
      </c>
      <c r="AB7">
        <v>2</v>
      </c>
    </row>
    <row r="8" spans="1:29" x14ac:dyDescent="0.25">
      <c r="A8" t="s">
        <v>93</v>
      </c>
      <c r="B8">
        <v>7</v>
      </c>
      <c r="C8">
        <v>6</v>
      </c>
      <c r="D8">
        <v>4</v>
      </c>
      <c r="E8" cm="1">
        <f t="array" ref="E8:G8">IF(D8="",_xlfn._xlws.SORT(B8:C8,1,1,TRUE),_xlfn._xlws.SORT(B8:D8,1,1,TRUE))</f>
        <v>4</v>
      </c>
      <c r="F8">
        <v>6</v>
      </c>
      <c r="G8">
        <v>7</v>
      </c>
      <c r="H8">
        <f t="shared" si="0"/>
        <v>3</v>
      </c>
      <c r="I8" t="s">
        <v>155</v>
      </c>
      <c r="J8" t="str">
        <f t="shared" si="1"/>
        <v>10-obf-v2</v>
      </c>
      <c r="Q8" s="8"/>
      <c r="V8" t="s">
        <v>403</v>
      </c>
      <c r="W8" t="s">
        <v>400</v>
      </c>
      <c r="X8" t="s">
        <v>401</v>
      </c>
      <c r="AB8">
        <v>2</v>
      </c>
    </row>
    <row r="9" spans="1:29" x14ac:dyDescent="0.25">
      <c r="A9" t="s">
        <v>6</v>
      </c>
      <c r="B9" t="s">
        <v>2</v>
      </c>
      <c r="C9" t="s">
        <v>3</v>
      </c>
      <c r="D9" t="s">
        <v>418</v>
      </c>
      <c r="E9" t="str" cm="1">
        <f t="array" ref="E9:F9">IF(D9="EMPTY",_xlfn._xlws.SORT(B9:C9,1,1,TRUE),_xlfn._xlws.SORT(B9:D9,1,1,TRUE))</f>
        <v>false</v>
      </c>
      <c r="F9" t="str">
        <v>true</v>
      </c>
      <c r="G9" t="s">
        <v>418</v>
      </c>
      <c r="H9">
        <f t="shared" si="0"/>
        <v>2</v>
      </c>
      <c r="I9" t="s">
        <v>379</v>
      </c>
      <c r="J9" t="str">
        <f t="shared" si="1"/>
        <v>11-clean-v0</v>
      </c>
      <c r="L9">
        <f>GETPIVOTDATA("filename",$K$2,"correct_index",1,"typ","bool")/GETPIVOTDATA("filename",$K$2,"typ","bool")</f>
        <v>0.47619047619047616</v>
      </c>
      <c r="M9">
        <f>GETPIVOTDATA("filename",$K$2,"correct_index",2,"typ","bool")/GETPIVOTDATA("filename",$K$2,"typ","bool")</f>
        <v>0.52380952380952384</v>
      </c>
      <c r="Q9" s="8"/>
      <c r="V9" t="s">
        <v>404</v>
      </c>
      <c r="W9" t="s">
        <v>400</v>
      </c>
      <c r="X9" t="s">
        <v>401</v>
      </c>
      <c r="AB9">
        <v>2</v>
      </c>
    </row>
    <row r="10" spans="1:29" x14ac:dyDescent="0.25">
      <c r="A10" t="s">
        <v>50</v>
      </c>
      <c r="B10" t="s">
        <v>3</v>
      </c>
      <c r="C10" t="s">
        <v>2</v>
      </c>
      <c r="D10" t="s">
        <v>418</v>
      </c>
      <c r="E10" t="str" cm="1">
        <f t="array" ref="E10:F10">IF(D10="EMPTY",_xlfn._xlws.SORT(B10:C10,1,1,TRUE),_xlfn._xlws.SORT(B10:D10,1,1,TRUE))</f>
        <v>false</v>
      </c>
      <c r="F10" t="str">
        <v>true</v>
      </c>
      <c r="G10" t="s">
        <v>418</v>
      </c>
      <c r="H10">
        <f t="shared" si="0"/>
        <v>1</v>
      </c>
      <c r="I10" t="s">
        <v>379</v>
      </c>
      <c r="J10" t="str">
        <f t="shared" si="1"/>
        <v>11-clean-v1</v>
      </c>
      <c r="L10">
        <f>GETPIVOTDATA("filename",$K$2,"correct_index",1,"typ","number")/GETPIVOTDATA("filename",$K$2,"typ","number")</f>
        <v>0.33333333333333331</v>
      </c>
      <c r="M10">
        <f>GETPIVOTDATA("filename",$K$2,"correct_index",2,"typ","number")/GETPIVOTDATA("filename",$K$2,"typ","number")</f>
        <v>0.33333333333333331</v>
      </c>
      <c r="N10">
        <f>GETPIVOTDATA("filename",$K$2,"correct_index",3,"typ","number")/GETPIVOTDATA("filename",$K$2,"typ","number")</f>
        <v>0.33333333333333331</v>
      </c>
      <c r="Q10" s="8"/>
      <c r="V10" t="s">
        <v>405</v>
      </c>
      <c r="W10" t="s">
        <v>400</v>
      </c>
      <c r="X10" t="s">
        <v>401</v>
      </c>
      <c r="AB10">
        <v>2</v>
      </c>
    </row>
    <row r="11" spans="1:29" x14ac:dyDescent="0.25">
      <c r="A11" t="s">
        <v>94</v>
      </c>
      <c r="B11" s="6" t="s">
        <v>3</v>
      </c>
      <c r="C11" s="6" t="s">
        <v>2</v>
      </c>
      <c r="D11" t="s">
        <v>418</v>
      </c>
      <c r="E11" t="str" cm="1">
        <f t="array" ref="E11:F11">IF(D11="EMPTY",_xlfn._xlws.SORT(B11:C11,1,1,TRUE),_xlfn._xlws.SORT(B11:D11,1,1,TRUE))</f>
        <v>false</v>
      </c>
      <c r="F11" t="str">
        <v>true</v>
      </c>
      <c r="G11" t="s">
        <v>418</v>
      </c>
      <c r="H11">
        <f t="shared" si="0"/>
        <v>1</v>
      </c>
      <c r="I11" t="s">
        <v>379</v>
      </c>
      <c r="J11" t="str">
        <f t="shared" si="1"/>
        <v>11-clean-v2</v>
      </c>
      <c r="Q11" s="8"/>
      <c r="V11" t="s">
        <v>406</v>
      </c>
      <c r="W11" t="s">
        <v>400</v>
      </c>
      <c r="X11" t="s">
        <v>401</v>
      </c>
      <c r="AB11">
        <v>2</v>
      </c>
    </row>
    <row r="12" spans="1:29" x14ac:dyDescent="0.25">
      <c r="A12" t="s">
        <v>7</v>
      </c>
      <c r="B12" t="s">
        <v>2</v>
      </c>
      <c r="C12" t="s">
        <v>3</v>
      </c>
      <c r="D12" t="s">
        <v>418</v>
      </c>
      <c r="E12" t="str" cm="1">
        <f t="array" ref="E12:F12">IF(D12="EMPTY",_xlfn._xlws.SORT(B12:C12,1,1,TRUE),_xlfn._xlws.SORT(B12:D12,1,1,TRUE))</f>
        <v>false</v>
      </c>
      <c r="F12" t="str">
        <v>true</v>
      </c>
      <c r="G12" t="s">
        <v>418</v>
      </c>
      <c r="H12">
        <f t="shared" si="0"/>
        <v>2</v>
      </c>
      <c r="I12" t="s">
        <v>379</v>
      </c>
      <c r="J12" t="str">
        <f t="shared" si="1"/>
        <v>11-obf-v0</v>
      </c>
      <c r="Q12" s="8"/>
      <c r="V12" t="s">
        <v>407</v>
      </c>
      <c r="W12" t="s">
        <v>408</v>
      </c>
      <c r="X12">
        <v>10</v>
      </c>
      <c r="Y12">
        <v>20</v>
      </c>
      <c r="Z12" t="s">
        <v>409</v>
      </c>
      <c r="AB12">
        <v>4</v>
      </c>
    </row>
    <row r="13" spans="1:29" x14ac:dyDescent="0.25">
      <c r="A13" t="s">
        <v>51</v>
      </c>
      <c r="B13" t="s">
        <v>3</v>
      </c>
      <c r="C13" t="s">
        <v>2</v>
      </c>
      <c r="D13" t="s">
        <v>418</v>
      </c>
      <c r="E13" t="str" cm="1">
        <f t="array" ref="E13:F13">IF(D13="EMPTY",_xlfn._xlws.SORT(B13:C13,1,1,TRUE),_xlfn._xlws.SORT(B13:D13,1,1,TRUE))</f>
        <v>false</v>
      </c>
      <c r="F13" t="str">
        <v>true</v>
      </c>
      <c r="G13" t="s">
        <v>418</v>
      </c>
      <c r="H13">
        <f t="shared" si="0"/>
        <v>1</v>
      </c>
      <c r="I13" t="s">
        <v>379</v>
      </c>
      <c r="J13" t="str">
        <f t="shared" si="1"/>
        <v>11-obf-v1</v>
      </c>
      <c r="Q13" s="8"/>
      <c r="AB13">
        <v>5</v>
      </c>
    </row>
    <row r="14" spans="1:29" x14ac:dyDescent="0.25">
      <c r="A14" t="s">
        <v>95</v>
      </c>
      <c r="B14" s="6" t="s">
        <v>3</v>
      </c>
      <c r="C14" s="6" t="s">
        <v>2</v>
      </c>
      <c r="D14" t="s">
        <v>418</v>
      </c>
      <c r="E14" t="str" cm="1">
        <f t="array" ref="E14:F14">IF(D14="EMPTY",_xlfn._xlws.SORT(B14:C14,1,1,TRUE),_xlfn._xlws.SORT(B14:D14,1,1,TRUE))</f>
        <v>false</v>
      </c>
      <c r="F14" t="str">
        <v>true</v>
      </c>
      <c r="G14" t="s">
        <v>418</v>
      </c>
      <c r="H14">
        <f t="shared" si="0"/>
        <v>1</v>
      </c>
      <c r="I14" t="s">
        <v>379</v>
      </c>
      <c r="J14" t="str">
        <f t="shared" si="1"/>
        <v>11-obf-v2</v>
      </c>
      <c r="Q14" s="8"/>
      <c r="AB14">
        <f>PRODUCT(AB5:AB13)</f>
        <v>5120</v>
      </c>
    </row>
    <row r="15" spans="1:29" x14ac:dyDescent="0.25">
      <c r="A15" t="s">
        <v>8</v>
      </c>
      <c r="B15">
        <v>7</v>
      </c>
      <c r="C15">
        <v>6</v>
      </c>
      <c r="D15" s="6">
        <v>5</v>
      </c>
      <c r="E15" cm="1">
        <f t="array" ref="E15:G15">IF(D15="",_xlfn._xlws.SORT(B15:C15,1,1,TRUE),_xlfn._xlws.SORT(B15:D15,1,1,TRUE))</f>
        <v>5</v>
      </c>
      <c r="F15">
        <v>6</v>
      </c>
      <c r="G15">
        <v>7</v>
      </c>
      <c r="H15">
        <f t="shared" si="0"/>
        <v>3</v>
      </c>
      <c r="I15" t="s">
        <v>155</v>
      </c>
      <c r="J15" t="str">
        <f t="shared" si="1"/>
        <v>12-clean-v0</v>
      </c>
      <c r="Q15" s="8"/>
    </row>
    <row r="16" spans="1:29" x14ac:dyDescent="0.25">
      <c r="A16" t="s">
        <v>52</v>
      </c>
      <c r="B16">
        <v>0</v>
      </c>
      <c r="C16">
        <v>1</v>
      </c>
      <c r="D16">
        <v>-1</v>
      </c>
      <c r="E16" cm="1">
        <f t="array" ref="E16:G16">IF(D16="",_xlfn._xlws.SORT(B16:C16,1,1,TRUE),_xlfn._xlws.SORT(B16:D16,1,1,TRUE))</f>
        <v>-1</v>
      </c>
      <c r="F16">
        <v>0</v>
      </c>
      <c r="G16">
        <v>1</v>
      </c>
      <c r="H16">
        <f t="shared" si="0"/>
        <v>2</v>
      </c>
      <c r="I16" t="s">
        <v>155</v>
      </c>
      <c r="J16" t="str">
        <f t="shared" si="1"/>
        <v>12-clean-v1</v>
      </c>
      <c r="Q16" s="8"/>
    </row>
    <row r="17" spans="1:28" x14ac:dyDescent="0.25">
      <c r="A17" t="s">
        <v>96</v>
      </c>
      <c r="B17">
        <v>4</v>
      </c>
      <c r="C17">
        <v>3</v>
      </c>
      <c r="D17">
        <v>2</v>
      </c>
      <c r="E17" cm="1">
        <f t="array" ref="E17:G17">IF(D17="",_xlfn._xlws.SORT(B17:C17,1,1,TRUE),_xlfn._xlws.SORT(B17:D17,1,1,TRUE))</f>
        <v>2</v>
      </c>
      <c r="F17">
        <v>3</v>
      </c>
      <c r="G17">
        <v>4</v>
      </c>
      <c r="H17">
        <f t="shared" si="0"/>
        <v>3</v>
      </c>
      <c r="I17" t="s">
        <v>155</v>
      </c>
      <c r="J17" t="str">
        <f t="shared" si="1"/>
        <v>12-clean-v2</v>
      </c>
      <c r="Q17" s="8"/>
      <c r="AB17">
        <v>4725</v>
      </c>
    </row>
    <row r="18" spans="1:28" x14ac:dyDescent="0.25">
      <c r="A18" t="s">
        <v>9</v>
      </c>
      <c r="B18">
        <v>7</v>
      </c>
      <c r="C18">
        <v>6</v>
      </c>
      <c r="D18" s="6">
        <v>5</v>
      </c>
      <c r="E18" cm="1">
        <f t="array" ref="E18:G18">IF(D18="",_xlfn._xlws.SORT(B18:C18,1,1,TRUE),_xlfn._xlws.SORT(B18:D18,1,1,TRUE))</f>
        <v>5</v>
      </c>
      <c r="F18">
        <v>6</v>
      </c>
      <c r="G18">
        <v>7</v>
      </c>
      <c r="H18">
        <f t="shared" si="0"/>
        <v>3</v>
      </c>
      <c r="I18" t="s">
        <v>155</v>
      </c>
      <c r="J18" t="str">
        <f t="shared" si="1"/>
        <v>12-obf-v0</v>
      </c>
      <c r="Q18" s="8"/>
      <c r="AB18">
        <f>45+15/24</f>
        <v>45.625</v>
      </c>
    </row>
    <row r="19" spans="1:28" x14ac:dyDescent="0.25">
      <c r="A19" t="s">
        <v>53</v>
      </c>
      <c r="B19">
        <v>0</v>
      </c>
      <c r="C19">
        <v>1</v>
      </c>
      <c r="D19">
        <v>-1</v>
      </c>
      <c r="E19" cm="1">
        <f t="array" ref="E19:G19">IF(D19="",_xlfn._xlws.SORT(B19:C19,1,1,TRUE),_xlfn._xlws.SORT(B19:D19,1,1,TRUE))</f>
        <v>-1</v>
      </c>
      <c r="F19">
        <v>0</v>
      </c>
      <c r="G19">
        <v>1</v>
      </c>
      <c r="H19">
        <f t="shared" si="0"/>
        <v>2</v>
      </c>
      <c r="I19" t="s">
        <v>155</v>
      </c>
      <c r="J19" t="str">
        <f t="shared" si="1"/>
        <v>12-obf-v1</v>
      </c>
      <c r="Q19" s="8"/>
      <c r="AB19">
        <f>AB17/AB18</f>
        <v>103.56164383561644</v>
      </c>
    </row>
    <row r="20" spans="1:28" x14ac:dyDescent="0.25">
      <c r="A20" t="s">
        <v>97</v>
      </c>
      <c r="B20">
        <v>4</v>
      </c>
      <c r="C20">
        <v>3</v>
      </c>
      <c r="D20">
        <v>2</v>
      </c>
      <c r="E20" cm="1">
        <f t="array" ref="E20:G20">IF(D20="",_xlfn._xlws.SORT(B20:C20,1,1,TRUE),_xlfn._xlws.SORT(B20:D20,1,1,TRUE))</f>
        <v>2</v>
      </c>
      <c r="F20">
        <v>3</v>
      </c>
      <c r="G20">
        <v>4</v>
      </c>
      <c r="H20">
        <f t="shared" si="0"/>
        <v>3</v>
      </c>
      <c r="I20" t="s">
        <v>155</v>
      </c>
      <c r="J20" t="str">
        <f t="shared" si="1"/>
        <v>12-obf-v2</v>
      </c>
      <c r="Q20" s="8"/>
    </row>
    <row r="21" spans="1:28" x14ac:dyDescent="0.25">
      <c r="A21" t="s">
        <v>10</v>
      </c>
      <c r="B21">
        <v>5</v>
      </c>
      <c r="C21">
        <v>6</v>
      </c>
      <c r="D21">
        <v>3</v>
      </c>
      <c r="E21" cm="1">
        <f t="array" ref="E21:G21">IF(D21="",_xlfn._xlws.SORT(B21:C21,1,1,TRUE),_xlfn._xlws.SORT(B21:D21,1,1,TRUE))</f>
        <v>3</v>
      </c>
      <c r="F21">
        <v>5</v>
      </c>
      <c r="G21">
        <v>6</v>
      </c>
      <c r="H21">
        <f t="shared" si="0"/>
        <v>2</v>
      </c>
      <c r="I21" t="s">
        <v>155</v>
      </c>
      <c r="J21" t="str">
        <f t="shared" si="1"/>
        <v>13-clean-v0</v>
      </c>
      <c r="Q21" s="8"/>
    </row>
    <row r="22" spans="1:28" x14ac:dyDescent="0.25">
      <c r="A22" t="s">
        <v>54</v>
      </c>
      <c r="B22">
        <v>11</v>
      </c>
      <c r="C22">
        <v>4</v>
      </c>
      <c r="D22">
        <v>7</v>
      </c>
      <c r="E22" cm="1">
        <f t="array" ref="E22:G22">IF(D22="",_xlfn._xlws.SORT(B22:C22,1,1,TRUE),_xlfn._xlws.SORT(B22:D22,1,1,TRUE))</f>
        <v>4</v>
      </c>
      <c r="F22">
        <v>7</v>
      </c>
      <c r="G22">
        <v>11</v>
      </c>
      <c r="H22">
        <f t="shared" si="0"/>
        <v>3</v>
      </c>
      <c r="I22" t="s">
        <v>155</v>
      </c>
      <c r="J22" t="str">
        <f t="shared" si="1"/>
        <v>13-clean-v1</v>
      </c>
      <c r="Q22" s="8"/>
    </row>
    <row r="23" spans="1:28" x14ac:dyDescent="0.25">
      <c r="A23" t="s">
        <v>98</v>
      </c>
      <c r="B23">
        <v>5</v>
      </c>
      <c r="C23">
        <v>6</v>
      </c>
      <c r="D23">
        <v>8</v>
      </c>
      <c r="E23" cm="1">
        <f t="array" ref="E23:G23">IF(D23="",_xlfn._xlws.SORT(B23:C23,1,1,TRUE),_xlfn._xlws.SORT(B23:D23,1,1,TRUE))</f>
        <v>5</v>
      </c>
      <c r="F23">
        <v>6</v>
      </c>
      <c r="G23">
        <v>8</v>
      </c>
      <c r="H23">
        <f t="shared" si="0"/>
        <v>1</v>
      </c>
      <c r="I23" t="s">
        <v>155</v>
      </c>
      <c r="J23" t="str">
        <f t="shared" si="1"/>
        <v>13-clean-v2</v>
      </c>
      <c r="Q23" s="8"/>
      <c r="AB23">
        <f>AB14/AB19</f>
        <v>49.439153439153444</v>
      </c>
    </row>
    <row r="24" spans="1:28" x14ac:dyDescent="0.25">
      <c r="A24" t="s">
        <v>11</v>
      </c>
      <c r="B24">
        <v>5</v>
      </c>
      <c r="C24">
        <v>6</v>
      </c>
      <c r="D24">
        <v>3</v>
      </c>
      <c r="E24" cm="1">
        <f t="array" ref="E24:G24">IF(D24="",_xlfn._xlws.SORT(B24:C24,1,1,TRUE),_xlfn._xlws.SORT(B24:D24,1,1,TRUE))</f>
        <v>3</v>
      </c>
      <c r="F24">
        <v>5</v>
      </c>
      <c r="G24">
        <v>6</v>
      </c>
      <c r="H24">
        <f t="shared" si="0"/>
        <v>2</v>
      </c>
      <c r="I24" t="s">
        <v>155</v>
      </c>
      <c r="J24" t="str">
        <f t="shared" si="1"/>
        <v>13-obf-v0</v>
      </c>
      <c r="Q24" s="8"/>
      <c r="AB24">
        <f>AB23-AB18</f>
        <v>3.8141534391534435</v>
      </c>
    </row>
    <row r="25" spans="1:28" x14ac:dyDescent="0.25">
      <c r="A25" t="s">
        <v>55</v>
      </c>
      <c r="B25">
        <v>11</v>
      </c>
      <c r="C25">
        <v>4</v>
      </c>
      <c r="D25">
        <v>7</v>
      </c>
      <c r="E25" cm="1">
        <f t="array" ref="E25:G25">IF(D25="",_xlfn._xlws.SORT(B25:C25,1,1,TRUE),_xlfn._xlws.SORT(B25:D25,1,1,TRUE))</f>
        <v>4</v>
      </c>
      <c r="F25">
        <v>7</v>
      </c>
      <c r="G25">
        <v>11</v>
      </c>
      <c r="H25">
        <f t="shared" si="0"/>
        <v>3</v>
      </c>
      <c r="I25" t="s">
        <v>155</v>
      </c>
      <c r="J25" t="str">
        <f t="shared" si="1"/>
        <v>13-obf-v1</v>
      </c>
      <c r="Q25" s="8"/>
    </row>
    <row r="26" spans="1:28" x14ac:dyDescent="0.25">
      <c r="A26" t="s">
        <v>99</v>
      </c>
      <c r="B26">
        <v>5</v>
      </c>
      <c r="C26">
        <v>6</v>
      </c>
      <c r="D26">
        <v>8</v>
      </c>
      <c r="E26" cm="1">
        <f t="array" ref="E26:G26">IF(D26="",_xlfn._xlws.SORT(B26:C26,1,1,TRUE),_xlfn._xlws.SORT(B26:D26,1,1,TRUE))</f>
        <v>5</v>
      </c>
      <c r="F26">
        <v>6</v>
      </c>
      <c r="G26">
        <v>8</v>
      </c>
      <c r="H26">
        <f t="shared" si="0"/>
        <v>1</v>
      </c>
      <c r="I26" t="s">
        <v>155</v>
      </c>
      <c r="J26" t="str">
        <f t="shared" si="1"/>
        <v>13-obf-v2</v>
      </c>
      <c r="Q26" s="8"/>
    </row>
    <row r="27" spans="1:28" x14ac:dyDescent="0.25">
      <c r="A27" t="s">
        <v>12</v>
      </c>
      <c r="B27">
        <v>4</v>
      </c>
      <c r="C27" s="6">
        <v>1</v>
      </c>
      <c r="D27">
        <v>2</v>
      </c>
      <c r="E27" cm="1">
        <f t="array" ref="E27:G27">IF(D27="",_xlfn._xlws.SORT(B27:C27,1,1,TRUE),_xlfn._xlws.SORT(B27:D27,1,1,TRUE))</f>
        <v>1</v>
      </c>
      <c r="F27">
        <v>2</v>
      </c>
      <c r="G27">
        <v>4</v>
      </c>
      <c r="H27">
        <f t="shared" si="0"/>
        <v>3</v>
      </c>
      <c r="I27" t="s">
        <v>155</v>
      </c>
      <c r="J27" t="str">
        <f t="shared" si="1"/>
        <v>14-clean-v0</v>
      </c>
    </row>
    <row r="28" spans="1:28" x14ac:dyDescent="0.25">
      <c r="A28" t="s">
        <v>56</v>
      </c>
      <c r="B28">
        <v>12</v>
      </c>
      <c r="C28" s="6">
        <v>3</v>
      </c>
      <c r="D28">
        <v>4</v>
      </c>
      <c r="E28" cm="1">
        <f t="array" ref="E28:G28">IF(D28="",_xlfn._xlws.SORT(B28:C28,1,1,TRUE),_xlfn._xlws.SORT(B28:D28,1,1,TRUE))</f>
        <v>3</v>
      </c>
      <c r="F28">
        <v>4</v>
      </c>
      <c r="G28">
        <v>12</v>
      </c>
      <c r="H28">
        <f t="shared" si="0"/>
        <v>3</v>
      </c>
      <c r="I28" t="s">
        <v>155</v>
      </c>
      <c r="J28" t="str">
        <f t="shared" si="1"/>
        <v>14-clean-v1</v>
      </c>
    </row>
    <row r="29" spans="1:28" x14ac:dyDescent="0.25">
      <c r="A29" t="s">
        <v>100</v>
      </c>
      <c r="B29">
        <v>27</v>
      </c>
      <c r="C29">
        <v>30</v>
      </c>
      <c r="D29">
        <v>9</v>
      </c>
      <c r="E29" cm="1">
        <f t="array" ref="E29:G29">IF(D29="",_xlfn._xlws.SORT(B29:C29,1,1,TRUE),_xlfn._xlws.SORT(B29:D29,1,1,TRUE))</f>
        <v>9</v>
      </c>
      <c r="F29">
        <v>27</v>
      </c>
      <c r="G29">
        <v>30</v>
      </c>
      <c r="H29">
        <f t="shared" si="0"/>
        <v>2</v>
      </c>
      <c r="I29" t="s">
        <v>155</v>
      </c>
      <c r="J29" t="str">
        <f t="shared" si="1"/>
        <v>14-clean-v2</v>
      </c>
    </row>
    <row r="30" spans="1:28" x14ac:dyDescent="0.25">
      <c r="A30" t="s">
        <v>13</v>
      </c>
      <c r="B30">
        <v>4</v>
      </c>
      <c r="C30" s="6">
        <v>1</v>
      </c>
      <c r="D30">
        <v>2</v>
      </c>
      <c r="E30" cm="1">
        <f t="array" ref="E30:G30">IF(D30="",_xlfn._xlws.SORT(B30:C30,1,1,TRUE),_xlfn._xlws.SORT(B30:D30,1,1,TRUE))</f>
        <v>1</v>
      </c>
      <c r="F30">
        <v>2</v>
      </c>
      <c r="G30">
        <v>4</v>
      </c>
      <c r="H30">
        <f t="shared" si="0"/>
        <v>3</v>
      </c>
      <c r="I30" t="s">
        <v>155</v>
      </c>
      <c r="J30" t="str">
        <f t="shared" si="1"/>
        <v>14-obf-v0</v>
      </c>
    </row>
    <row r="31" spans="1:28" x14ac:dyDescent="0.25">
      <c r="A31" t="s">
        <v>57</v>
      </c>
      <c r="B31">
        <v>12</v>
      </c>
      <c r="C31" s="6">
        <v>3</v>
      </c>
      <c r="D31">
        <v>4</v>
      </c>
      <c r="E31" cm="1">
        <f t="array" ref="E31:G31">IF(D31="",_xlfn._xlws.SORT(B31:C31,1,1,TRUE),_xlfn._xlws.SORT(B31:D31,1,1,TRUE))</f>
        <v>3</v>
      </c>
      <c r="F31">
        <v>4</v>
      </c>
      <c r="G31">
        <v>12</v>
      </c>
      <c r="H31">
        <f t="shared" si="0"/>
        <v>3</v>
      </c>
      <c r="I31" t="s">
        <v>155</v>
      </c>
      <c r="J31" t="str">
        <f t="shared" si="1"/>
        <v>14-obf-v1</v>
      </c>
    </row>
    <row r="32" spans="1:28" x14ac:dyDescent="0.25">
      <c r="A32" t="s">
        <v>101</v>
      </c>
      <c r="B32">
        <v>27</v>
      </c>
      <c r="C32">
        <v>30</v>
      </c>
      <c r="D32">
        <v>9</v>
      </c>
      <c r="E32" cm="1">
        <f t="array" ref="E32:G32">IF(D32="",_xlfn._xlws.SORT(B32:C32,1,1,TRUE),_xlfn._xlws.SORT(B32:D32,1,1,TRUE))</f>
        <v>9</v>
      </c>
      <c r="F32">
        <v>27</v>
      </c>
      <c r="G32">
        <v>30</v>
      </c>
      <c r="H32">
        <f t="shared" si="0"/>
        <v>2</v>
      </c>
      <c r="I32" t="s">
        <v>155</v>
      </c>
      <c r="J32" t="str">
        <f t="shared" si="1"/>
        <v>14-obf-v2</v>
      </c>
    </row>
    <row r="33" spans="1:10" x14ac:dyDescent="0.25">
      <c r="A33" t="s">
        <v>210</v>
      </c>
      <c r="B33" t="s">
        <v>216</v>
      </c>
      <c r="C33" t="s">
        <v>368</v>
      </c>
      <c r="D33" s="7" t="s">
        <v>385</v>
      </c>
      <c r="E33" t="s">
        <v>385</v>
      </c>
      <c r="F33" t="s">
        <v>368</v>
      </c>
      <c r="G33" t="s">
        <v>216</v>
      </c>
      <c r="H33">
        <f>IF(B33=E33,1,IF(B33=F33,2,3))</f>
        <v>3</v>
      </c>
      <c r="I33" t="s">
        <v>155</v>
      </c>
      <c r="J33" t="str">
        <f t="shared" si="1"/>
        <v>15-clean-v0</v>
      </c>
    </row>
    <row r="34" spans="1:10" x14ac:dyDescent="0.25">
      <c r="A34" t="s">
        <v>211</v>
      </c>
      <c r="B34" t="s">
        <v>217</v>
      </c>
      <c r="C34" t="s">
        <v>369</v>
      </c>
      <c r="D34" t="s">
        <v>370</v>
      </c>
      <c r="E34" t="s">
        <v>369</v>
      </c>
      <c r="F34" t="s">
        <v>217</v>
      </c>
      <c r="G34" t="s">
        <v>370</v>
      </c>
      <c r="H34">
        <f t="shared" si="0"/>
        <v>2</v>
      </c>
      <c r="I34" t="s">
        <v>155</v>
      </c>
      <c r="J34" t="str">
        <f t="shared" si="1"/>
        <v>15-clean-v1</v>
      </c>
    </row>
    <row r="35" spans="1:10" x14ac:dyDescent="0.25">
      <c r="A35" t="s">
        <v>212</v>
      </c>
      <c r="B35" t="s">
        <v>218</v>
      </c>
      <c r="C35" s="6" t="s">
        <v>384</v>
      </c>
      <c r="D35" t="s">
        <v>371</v>
      </c>
      <c r="E35" t="s">
        <v>218</v>
      </c>
      <c r="F35" t="s">
        <v>371</v>
      </c>
      <c r="G35" t="s">
        <v>384</v>
      </c>
      <c r="H35">
        <f t="shared" si="0"/>
        <v>1</v>
      </c>
      <c r="I35" t="s">
        <v>155</v>
      </c>
      <c r="J35" t="str">
        <f t="shared" si="1"/>
        <v>15-clean-v2</v>
      </c>
    </row>
    <row r="36" spans="1:10" x14ac:dyDescent="0.25">
      <c r="A36" t="s">
        <v>213</v>
      </c>
      <c r="B36" t="s">
        <v>216</v>
      </c>
      <c r="C36" t="s">
        <v>368</v>
      </c>
      <c r="D36" s="7" t="s">
        <v>385</v>
      </c>
      <c r="E36" t="s">
        <v>385</v>
      </c>
      <c r="F36" t="s">
        <v>368</v>
      </c>
      <c r="G36" t="s">
        <v>216</v>
      </c>
      <c r="H36">
        <f t="shared" si="0"/>
        <v>3</v>
      </c>
      <c r="I36" t="s">
        <v>155</v>
      </c>
      <c r="J36" t="str">
        <f t="shared" si="1"/>
        <v>15-obf-v0</v>
      </c>
    </row>
    <row r="37" spans="1:10" x14ac:dyDescent="0.25">
      <c r="A37" t="s">
        <v>214</v>
      </c>
      <c r="B37" t="s">
        <v>217</v>
      </c>
      <c r="C37" t="s">
        <v>369</v>
      </c>
      <c r="D37" t="s">
        <v>370</v>
      </c>
      <c r="E37" t="s">
        <v>369</v>
      </c>
      <c r="F37" t="s">
        <v>217</v>
      </c>
      <c r="G37" t="s">
        <v>370</v>
      </c>
      <c r="H37">
        <f t="shared" si="0"/>
        <v>2</v>
      </c>
      <c r="I37" t="s">
        <v>155</v>
      </c>
      <c r="J37" t="str">
        <f t="shared" si="1"/>
        <v>15-obf-v1</v>
      </c>
    </row>
    <row r="38" spans="1:10" x14ac:dyDescent="0.25">
      <c r="A38" t="s">
        <v>215</v>
      </c>
      <c r="B38" t="s">
        <v>218</v>
      </c>
      <c r="C38" s="6" t="s">
        <v>384</v>
      </c>
      <c r="D38" t="s">
        <v>371</v>
      </c>
      <c r="E38" t="s">
        <v>218</v>
      </c>
      <c r="F38" t="s">
        <v>371</v>
      </c>
      <c r="G38" t="s">
        <v>384</v>
      </c>
      <c r="H38">
        <f t="shared" si="0"/>
        <v>1</v>
      </c>
      <c r="I38" t="s">
        <v>155</v>
      </c>
      <c r="J38" t="str">
        <f t="shared" si="1"/>
        <v>15-obf-v2</v>
      </c>
    </row>
    <row r="39" spans="1:10" x14ac:dyDescent="0.25">
      <c r="A39" t="s">
        <v>14</v>
      </c>
      <c r="B39">
        <v>7</v>
      </c>
      <c r="C39">
        <v>5</v>
      </c>
      <c r="D39">
        <v>3</v>
      </c>
      <c r="E39" cm="1">
        <f t="array" ref="E39:G39">IF(D39="",_xlfn._xlws.SORT(B39:C39,1,1,TRUE),_xlfn._xlws.SORT(B39:D39,1,1,TRUE))</f>
        <v>3</v>
      </c>
      <c r="F39">
        <v>5</v>
      </c>
      <c r="G39">
        <v>7</v>
      </c>
      <c r="H39">
        <f t="shared" si="0"/>
        <v>3</v>
      </c>
      <c r="I39" t="s">
        <v>155</v>
      </c>
      <c r="J39" t="str">
        <f t="shared" si="1"/>
        <v>16-clean-v0</v>
      </c>
    </row>
    <row r="40" spans="1:10" x14ac:dyDescent="0.25">
      <c r="A40" t="s">
        <v>58</v>
      </c>
      <c r="B40">
        <v>5</v>
      </c>
      <c r="C40">
        <v>4</v>
      </c>
      <c r="D40">
        <v>6</v>
      </c>
      <c r="E40" cm="1">
        <f t="array" ref="E40:G40">IF(D40="",_xlfn._xlws.SORT(B40:C40,1,1,TRUE),_xlfn._xlws.SORT(B40:D40,1,1,TRUE))</f>
        <v>4</v>
      </c>
      <c r="F40">
        <v>5</v>
      </c>
      <c r="G40">
        <v>6</v>
      </c>
      <c r="H40">
        <f t="shared" si="0"/>
        <v>2</v>
      </c>
      <c r="I40" t="s">
        <v>155</v>
      </c>
      <c r="J40" t="str">
        <f t="shared" si="1"/>
        <v>16-clean-v1</v>
      </c>
    </row>
    <row r="41" spans="1:10" x14ac:dyDescent="0.25">
      <c r="A41" t="s">
        <v>102</v>
      </c>
      <c r="B41">
        <v>6</v>
      </c>
      <c r="C41">
        <v>4</v>
      </c>
      <c r="D41">
        <v>13</v>
      </c>
      <c r="E41" cm="1">
        <f t="array" ref="E41:G41">IF(D41="",_xlfn._xlws.SORT(B41:C41,1,1,TRUE),_xlfn._xlws.SORT(B41:D41,1,1,TRUE))</f>
        <v>4</v>
      </c>
      <c r="F41">
        <v>6</v>
      </c>
      <c r="G41">
        <v>13</v>
      </c>
      <c r="H41">
        <f t="shared" si="0"/>
        <v>2</v>
      </c>
      <c r="I41" t="s">
        <v>155</v>
      </c>
      <c r="J41" t="str">
        <f t="shared" si="1"/>
        <v>16-clean-v2</v>
      </c>
    </row>
    <row r="42" spans="1:10" x14ac:dyDescent="0.25">
      <c r="A42" t="s">
        <v>15</v>
      </c>
      <c r="B42">
        <v>7</v>
      </c>
      <c r="C42">
        <v>5</v>
      </c>
      <c r="D42">
        <v>3</v>
      </c>
      <c r="E42" cm="1">
        <f t="array" ref="E42:G42">IF(D42="",_xlfn._xlws.SORT(B42:C42,1,1,TRUE),_xlfn._xlws.SORT(B42:D42,1,1,TRUE))</f>
        <v>3</v>
      </c>
      <c r="F42">
        <v>5</v>
      </c>
      <c r="G42">
        <v>7</v>
      </c>
      <c r="H42">
        <f t="shared" si="0"/>
        <v>3</v>
      </c>
      <c r="I42" t="s">
        <v>155</v>
      </c>
      <c r="J42" t="str">
        <f t="shared" si="1"/>
        <v>16-obf-v0</v>
      </c>
    </row>
    <row r="43" spans="1:10" x14ac:dyDescent="0.25">
      <c r="A43" t="s">
        <v>59</v>
      </c>
      <c r="B43">
        <v>5</v>
      </c>
      <c r="C43">
        <v>4</v>
      </c>
      <c r="D43">
        <v>6</v>
      </c>
      <c r="E43" cm="1">
        <f t="array" ref="E43:G43">IF(D43="",_xlfn._xlws.SORT(B43:C43,1,1,TRUE),_xlfn._xlws.SORT(B43:D43,1,1,TRUE))</f>
        <v>4</v>
      </c>
      <c r="F43">
        <v>5</v>
      </c>
      <c r="G43">
        <v>6</v>
      </c>
      <c r="H43">
        <f t="shared" si="0"/>
        <v>2</v>
      </c>
      <c r="I43" t="s">
        <v>155</v>
      </c>
      <c r="J43" t="str">
        <f t="shared" si="1"/>
        <v>16-obf-v1</v>
      </c>
    </row>
    <row r="44" spans="1:10" x14ac:dyDescent="0.25">
      <c r="A44" t="s">
        <v>103</v>
      </c>
      <c r="B44">
        <v>6</v>
      </c>
      <c r="C44">
        <v>4</v>
      </c>
      <c r="D44">
        <v>13</v>
      </c>
      <c r="E44" cm="1">
        <f t="array" ref="E44:G44">IF(D44="",_xlfn._xlws.SORT(B44:C44,1,1,TRUE),_xlfn._xlws.SORT(B44:D44,1,1,TRUE))</f>
        <v>4</v>
      </c>
      <c r="F44">
        <v>6</v>
      </c>
      <c r="G44">
        <v>13</v>
      </c>
      <c r="H44">
        <f t="shared" si="0"/>
        <v>2</v>
      </c>
      <c r="I44" t="s">
        <v>155</v>
      </c>
      <c r="J44" t="str">
        <f t="shared" si="1"/>
        <v>16-obf-v2</v>
      </c>
    </row>
    <row r="45" spans="1:10" x14ac:dyDescent="0.25">
      <c r="A45" t="s">
        <v>16</v>
      </c>
      <c r="B45">
        <v>6</v>
      </c>
      <c r="C45">
        <v>10</v>
      </c>
      <c r="D45">
        <v>5</v>
      </c>
      <c r="E45" cm="1">
        <f t="array" ref="E45:G45">IF(D45="",_xlfn._xlws.SORT(B45:C45,1,1,TRUE),_xlfn._xlws.SORT(B45:D45,1,1,TRUE))</f>
        <v>5</v>
      </c>
      <c r="F45">
        <v>6</v>
      </c>
      <c r="G45">
        <v>10</v>
      </c>
      <c r="H45">
        <f t="shared" si="0"/>
        <v>2</v>
      </c>
      <c r="I45" t="s">
        <v>155</v>
      </c>
      <c r="J45" t="str">
        <f t="shared" si="1"/>
        <v>17-clean-v0</v>
      </c>
    </row>
    <row r="46" spans="1:10" x14ac:dyDescent="0.25">
      <c r="A46" t="s">
        <v>60</v>
      </c>
      <c r="B46">
        <v>1</v>
      </c>
      <c r="C46">
        <v>3</v>
      </c>
      <c r="D46">
        <v>4</v>
      </c>
      <c r="E46" cm="1">
        <f t="array" ref="E46:G46">IF(D46="",_xlfn._xlws.SORT(B46:C46,1,1,TRUE),_xlfn._xlws.SORT(B46:D46,1,1,TRUE))</f>
        <v>1</v>
      </c>
      <c r="F46">
        <v>3</v>
      </c>
      <c r="G46">
        <v>4</v>
      </c>
      <c r="H46">
        <f t="shared" si="0"/>
        <v>1</v>
      </c>
      <c r="I46" t="s">
        <v>155</v>
      </c>
      <c r="J46" t="str">
        <f t="shared" si="1"/>
        <v>17-clean-v1</v>
      </c>
    </row>
    <row r="47" spans="1:10" x14ac:dyDescent="0.25">
      <c r="A47" t="s">
        <v>104</v>
      </c>
      <c r="B47">
        <v>9</v>
      </c>
      <c r="C47">
        <v>8</v>
      </c>
      <c r="D47">
        <v>1</v>
      </c>
      <c r="E47" cm="1">
        <f t="array" ref="E47:G47">IF(D47="",_xlfn._xlws.SORT(B47:C47,1,1,TRUE),_xlfn._xlws.SORT(B47:D47,1,1,TRUE))</f>
        <v>1</v>
      </c>
      <c r="F47">
        <v>8</v>
      </c>
      <c r="G47">
        <v>9</v>
      </c>
      <c r="H47">
        <f t="shared" si="0"/>
        <v>3</v>
      </c>
      <c r="I47" t="s">
        <v>155</v>
      </c>
      <c r="J47" t="str">
        <f t="shared" si="1"/>
        <v>17-clean-v2</v>
      </c>
    </row>
    <row r="48" spans="1:10" x14ac:dyDescent="0.25">
      <c r="A48" t="s">
        <v>17</v>
      </c>
      <c r="B48">
        <v>6</v>
      </c>
      <c r="C48">
        <v>10</v>
      </c>
      <c r="D48">
        <v>5</v>
      </c>
      <c r="E48" cm="1">
        <f t="array" ref="E48:G48">IF(D48="",_xlfn._xlws.SORT(B48:C48,1,1,TRUE),_xlfn._xlws.SORT(B48:D48,1,1,TRUE))</f>
        <v>5</v>
      </c>
      <c r="F48">
        <v>6</v>
      </c>
      <c r="G48">
        <v>10</v>
      </c>
      <c r="H48">
        <f t="shared" si="0"/>
        <v>2</v>
      </c>
      <c r="I48" t="s">
        <v>155</v>
      </c>
      <c r="J48" t="str">
        <f t="shared" si="1"/>
        <v>17-obf-v0</v>
      </c>
    </row>
    <row r="49" spans="1:10" x14ac:dyDescent="0.25">
      <c r="A49" t="s">
        <v>61</v>
      </c>
      <c r="B49">
        <v>1</v>
      </c>
      <c r="C49">
        <v>3</v>
      </c>
      <c r="D49">
        <v>4</v>
      </c>
      <c r="E49" cm="1">
        <f t="array" ref="E49:G49">IF(D49="",_xlfn._xlws.SORT(B49:C49,1,1,TRUE),_xlfn._xlws.SORT(B49:D49,1,1,TRUE))</f>
        <v>1</v>
      </c>
      <c r="F49">
        <v>3</v>
      </c>
      <c r="G49">
        <v>4</v>
      </c>
      <c r="H49">
        <f t="shared" si="0"/>
        <v>1</v>
      </c>
      <c r="I49" t="s">
        <v>155</v>
      </c>
      <c r="J49" t="str">
        <f t="shared" si="1"/>
        <v>17-obf-v1</v>
      </c>
    </row>
    <row r="50" spans="1:10" x14ac:dyDescent="0.25">
      <c r="A50" t="s">
        <v>105</v>
      </c>
      <c r="B50">
        <v>9</v>
      </c>
      <c r="C50">
        <v>8</v>
      </c>
      <c r="D50">
        <v>1</v>
      </c>
      <c r="E50" cm="1">
        <f t="array" ref="E50:G50">IF(D50="",_xlfn._xlws.SORT(B50:C50,1,1,TRUE),_xlfn._xlws.SORT(B50:D50,1,1,TRUE))</f>
        <v>1</v>
      </c>
      <c r="F50">
        <v>8</v>
      </c>
      <c r="G50">
        <v>9</v>
      </c>
      <c r="H50">
        <f t="shared" si="0"/>
        <v>3</v>
      </c>
      <c r="I50" t="s">
        <v>155</v>
      </c>
      <c r="J50" t="str">
        <f t="shared" si="1"/>
        <v>17-obf-v2</v>
      </c>
    </row>
    <row r="51" spans="1:10" x14ac:dyDescent="0.25">
      <c r="A51" t="s">
        <v>18</v>
      </c>
      <c r="B51">
        <v>2</v>
      </c>
      <c r="C51">
        <v>1</v>
      </c>
      <c r="D51">
        <v>3</v>
      </c>
      <c r="E51" cm="1">
        <f t="array" ref="E51:G51">IF(D51="",_xlfn._xlws.SORT(B51:C51,1,1,TRUE),_xlfn._xlws.SORT(B51:D51,1,1,TRUE))</f>
        <v>1</v>
      </c>
      <c r="F51">
        <v>2</v>
      </c>
      <c r="G51">
        <v>3</v>
      </c>
      <c r="H51">
        <f t="shared" si="0"/>
        <v>2</v>
      </c>
      <c r="I51" t="s">
        <v>155</v>
      </c>
      <c r="J51" t="str">
        <f t="shared" si="1"/>
        <v>18-clean-v0</v>
      </c>
    </row>
    <row r="52" spans="1:10" x14ac:dyDescent="0.25">
      <c r="A52" t="s">
        <v>62</v>
      </c>
      <c r="B52">
        <v>2</v>
      </c>
      <c r="C52">
        <v>5</v>
      </c>
      <c r="D52">
        <v>7</v>
      </c>
      <c r="E52" cm="1">
        <f t="array" ref="E52:G52">IF(D52="",_xlfn._xlws.SORT(B52:C52,1,1,TRUE),_xlfn._xlws.SORT(B52:D52,1,1,TRUE))</f>
        <v>2</v>
      </c>
      <c r="F52">
        <v>5</v>
      </c>
      <c r="G52">
        <v>7</v>
      </c>
      <c r="H52">
        <f t="shared" si="0"/>
        <v>1</v>
      </c>
      <c r="I52" t="s">
        <v>155</v>
      </c>
      <c r="J52" t="str">
        <f t="shared" si="1"/>
        <v>18-clean-v1</v>
      </c>
    </row>
    <row r="53" spans="1:10" x14ac:dyDescent="0.25">
      <c r="A53" t="s">
        <v>106</v>
      </c>
      <c r="B53">
        <v>6</v>
      </c>
      <c r="C53">
        <v>4</v>
      </c>
      <c r="D53">
        <v>5</v>
      </c>
      <c r="E53" cm="1">
        <f t="array" ref="E53:G53">IF(D53="",_xlfn._xlws.SORT(B53:C53,1,1,TRUE),_xlfn._xlws.SORT(B53:D53,1,1,TRUE))</f>
        <v>4</v>
      </c>
      <c r="F53">
        <v>5</v>
      </c>
      <c r="G53">
        <v>6</v>
      </c>
      <c r="H53">
        <f t="shared" si="0"/>
        <v>3</v>
      </c>
      <c r="I53" t="s">
        <v>155</v>
      </c>
      <c r="J53" t="str">
        <f t="shared" si="1"/>
        <v>18-clean-v2</v>
      </c>
    </row>
    <row r="54" spans="1:10" x14ac:dyDescent="0.25">
      <c r="A54" t="s">
        <v>19</v>
      </c>
      <c r="B54">
        <v>2</v>
      </c>
      <c r="C54">
        <v>1</v>
      </c>
      <c r="D54">
        <v>3</v>
      </c>
      <c r="E54" cm="1">
        <f t="array" ref="E54:G54">IF(D54="",_xlfn._xlws.SORT(B54:C54,1,1,TRUE),_xlfn._xlws.SORT(B54:D54,1,1,TRUE))</f>
        <v>1</v>
      </c>
      <c r="F54">
        <v>2</v>
      </c>
      <c r="G54">
        <v>3</v>
      </c>
      <c r="H54">
        <f t="shared" si="0"/>
        <v>2</v>
      </c>
      <c r="I54" t="s">
        <v>155</v>
      </c>
      <c r="J54" t="str">
        <f t="shared" si="1"/>
        <v>18-obf-v0</v>
      </c>
    </row>
    <row r="55" spans="1:10" x14ac:dyDescent="0.25">
      <c r="A55" t="s">
        <v>63</v>
      </c>
      <c r="B55">
        <v>2</v>
      </c>
      <c r="C55">
        <v>5</v>
      </c>
      <c r="D55">
        <v>7</v>
      </c>
      <c r="E55" cm="1">
        <f t="array" ref="E55:G55">IF(D55="",_xlfn._xlws.SORT(B55:C55,1,1,TRUE),_xlfn._xlws.SORT(B55:D55,1,1,TRUE))</f>
        <v>2</v>
      </c>
      <c r="F55">
        <v>5</v>
      </c>
      <c r="G55">
        <v>7</v>
      </c>
      <c r="H55">
        <f t="shared" si="0"/>
        <v>1</v>
      </c>
      <c r="I55" t="s">
        <v>155</v>
      </c>
      <c r="J55" t="str">
        <f t="shared" si="1"/>
        <v>18-obf-v1</v>
      </c>
    </row>
    <row r="56" spans="1:10" x14ac:dyDescent="0.25">
      <c r="A56" t="s">
        <v>107</v>
      </c>
      <c r="B56">
        <v>6</v>
      </c>
      <c r="C56">
        <v>4</v>
      </c>
      <c r="D56">
        <v>5</v>
      </c>
      <c r="E56" cm="1">
        <f t="array" ref="E56:G56">IF(D56="",_xlfn._xlws.SORT(B56:C56,1,1,TRUE),_xlfn._xlws.SORT(B56:D56,1,1,TRUE))</f>
        <v>4</v>
      </c>
      <c r="F56">
        <v>5</v>
      </c>
      <c r="G56">
        <v>6</v>
      </c>
      <c r="H56">
        <f t="shared" si="0"/>
        <v>3</v>
      </c>
      <c r="I56" t="s">
        <v>155</v>
      </c>
      <c r="J56" t="str">
        <f t="shared" si="1"/>
        <v>18-obf-v2</v>
      </c>
    </row>
    <row r="57" spans="1:10" x14ac:dyDescent="0.25">
      <c r="A57" t="s">
        <v>20</v>
      </c>
      <c r="B57" t="s">
        <v>2</v>
      </c>
      <c r="C57" t="s">
        <v>3</v>
      </c>
      <c r="D57" t="s">
        <v>418</v>
      </c>
      <c r="E57" t="str" cm="1">
        <f t="array" ref="E57:F57">IF(D57="EMPTY",_xlfn._xlws.SORT(B57:C57,1,1,TRUE),_xlfn._xlws.SORT(B57:D57,1,1,TRUE))</f>
        <v>false</v>
      </c>
      <c r="F57" t="str">
        <v>true</v>
      </c>
      <c r="G57" t="s">
        <v>418</v>
      </c>
      <c r="H57">
        <f t="shared" si="0"/>
        <v>2</v>
      </c>
      <c r="I57" t="s">
        <v>379</v>
      </c>
      <c r="J57" t="str">
        <f t="shared" si="1"/>
        <v>30-clean-v0</v>
      </c>
    </row>
    <row r="58" spans="1:10" x14ac:dyDescent="0.25">
      <c r="A58" t="s">
        <v>64</v>
      </c>
      <c r="B58" t="s">
        <v>2</v>
      </c>
      <c r="C58" t="s">
        <v>3</v>
      </c>
      <c r="D58" t="s">
        <v>418</v>
      </c>
      <c r="E58" t="str" cm="1">
        <f t="array" ref="E58:F58">IF(D58="EMPTY",_xlfn._xlws.SORT(B58:C58,1,1,TRUE),_xlfn._xlws.SORT(B58:D58,1,1,TRUE))</f>
        <v>false</v>
      </c>
      <c r="F58" t="str">
        <v>true</v>
      </c>
      <c r="G58" t="s">
        <v>418</v>
      </c>
      <c r="H58">
        <f t="shared" si="0"/>
        <v>2</v>
      </c>
      <c r="I58" t="s">
        <v>379</v>
      </c>
      <c r="J58" t="str">
        <f t="shared" si="1"/>
        <v>30-clean-v1</v>
      </c>
    </row>
    <row r="59" spans="1:10" x14ac:dyDescent="0.25">
      <c r="A59" t="s">
        <v>108</v>
      </c>
      <c r="B59" t="s">
        <v>3</v>
      </c>
      <c r="C59" t="s">
        <v>2</v>
      </c>
      <c r="D59" t="s">
        <v>418</v>
      </c>
      <c r="E59" t="str" cm="1">
        <f t="array" ref="E59:F59">IF(D59="EMPTY",_xlfn._xlws.SORT(B59:C59,1,1,TRUE),_xlfn._xlws.SORT(B59:D59,1,1,TRUE))</f>
        <v>false</v>
      </c>
      <c r="F59" t="str">
        <v>true</v>
      </c>
      <c r="G59" t="s">
        <v>418</v>
      </c>
      <c r="H59">
        <f t="shared" si="0"/>
        <v>1</v>
      </c>
      <c r="I59" t="s">
        <v>379</v>
      </c>
      <c r="J59" t="str">
        <f t="shared" si="1"/>
        <v>30-clean-v2</v>
      </c>
    </row>
    <row r="60" spans="1:10" x14ac:dyDescent="0.25">
      <c r="A60" t="s">
        <v>21</v>
      </c>
      <c r="B60" t="s">
        <v>2</v>
      </c>
      <c r="C60" t="s">
        <v>3</v>
      </c>
      <c r="D60" t="s">
        <v>418</v>
      </c>
      <c r="E60" t="str" cm="1">
        <f t="array" ref="E60:F60">IF(D60="EMPTY",_xlfn._xlws.SORT(B60:C60,1,1,TRUE),_xlfn._xlws.SORT(B60:D60,1,1,TRUE))</f>
        <v>false</v>
      </c>
      <c r="F60" t="str">
        <v>true</v>
      </c>
      <c r="G60" t="s">
        <v>418</v>
      </c>
      <c r="H60">
        <f t="shared" si="0"/>
        <v>2</v>
      </c>
      <c r="I60" t="s">
        <v>379</v>
      </c>
      <c r="J60" t="str">
        <f t="shared" si="1"/>
        <v>30-obf-v0</v>
      </c>
    </row>
    <row r="61" spans="1:10" x14ac:dyDescent="0.25">
      <c r="A61" t="s">
        <v>65</v>
      </c>
      <c r="B61" t="s">
        <v>2</v>
      </c>
      <c r="C61" t="s">
        <v>3</v>
      </c>
      <c r="D61" t="s">
        <v>418</v>
      </c>
      <c r="E61" t="str" cm="1">
        <f t="array" ref="E61:F61">IF(D61="EMPTY",_xlfn._xlws.SORT(B61:C61,1,1,TRUE),_xlfn._xlws.SORT(B61:D61,1,1,TRUE))</f>
        <v>false</v>
      </c>
      <c r="F61" t="str">
        <v>true</v>
      </c>
      <c r="G61" t="s">
        <v>418</v>
      </c>
      <c r="H61">
        <f t="shared" si="0"/>
        <v>2</v>
      </c>
      <c r="I61" t="s">
        <v>379</v>
      </c>
      <c r="J61" t="str">
        <f t="shared" si="1"/>
        <v>30-obf-v1</v>
      </c>
    </row>
    <row r="62" spans="1:10" x14ac:dyDescent="0.25">
      <c r="A62" t="s">
        <v>109</v>
      </c>
      <c r="B62" t="s">
        <v>3</v>
      </c>
      <c r="C62" t="s">
        <v>2</v>
      </c>
      <c r="D62" t="s">
        <v>418</v>
      </c>
      <c r="E62" t="str" cm="1">
        <f t="array" ref="E62:F62">IF(D62="EMPTY",_xlfn._xlws.SORT(B62:C62,1,1,TRUE),_xlfn._xlws.SORT(B62:D62,1,1,TRUE))</f>
        <v>false</v>
      </c>
      <c r="F62" t="str">
        <v>true</v>
      </c>
      <c r="G62" t="s">
        <v>418</v>
      </c>
      <c r="H62">
        <f t="shared" si="0"/>
        <v>1</v>
      </c>
      <c r="I62" t="s">
        <v>379</v>
      </c>
      <c r="J62" t="str">
        <f t="shared" si="1"/>
        <v>30-obf-v2</v>
      </c>
    </row>
    <row r="63" spans="1:10" x14ac:dyDescent="0.25">
      <c r="A63" t="s">
        <v>24</v>
      </c>
      <c r="B63">
        <v>2</v>
      </c>
      <c r="C63">
        <v>1</v>
      </c>
      <c r="D63">
        <v>3</v>
      </c>
      <c r="E63" cm="1">
        <f t="array" ref="E63:G63">IF(D63="",_xlfn._xlws.SORT(B63:C63,1,1,TRUE),_xlfn._xlws.SORT(B63:D63,1,1,TRUE))</f>
        <v>1</v>
      </c>
      <c r="F63">
        <v>2</v>
      </c>
      <c r="G63">
        <v>3</v>
      </c>
      <c r="H63">
        <f t="shared" si="0"/>
        <v>2</v>
      </c>
      <c r="I63" t="s">
        <v>155</v>
      </c>
      <c r="J63" t="str">
        <f t="shared" si="1"/>
        <v>49-clean-v0</v>
      </c>
    </row>
    <row r="64" spans="1:10" x14ac:dyDescent="0.25">
      <c r="A64" t="s">
        <v>68</v>
      </c>
      <c r="B64">
        <v>22</v>
      </c>
      <c r="C64">
        <v>10</v>
      </c>
      <c r="D64">
        <v>40</v>
      </c>
      <c r="E64" cm="1">
        <f t="array" ref="E64:G64">IF(D64="",_xlfn._xlws.SORT(B64:C64,1,1,TRUE),_xlfn._xlws.SORT(B64:D64,1,1,TRUE))</f>
        <v>10</v>
      </c>
      <c r="F64">
        <v>22</v>
      </c>
      <c r="G64">
        <v>40</v>
      </c>
      <c r="H64">
        <f t="shared" si="0"/>
        <v>2</v>
      </c>
      <c r="I64" t="s">
        <v>155</v>
      </c>
      <c r="J64" t="str">
        <f t="shared" si="1"/>
        <v>49-clean-v1</v>
      </c>
    </row>
    <row r="65" spans="1:10" x14ac:dyDescent="0.25">
      <c r="A65" t="s">
        <v>112</v>
      </c>
      <c r="B65">
        <v>42</v>
      </c>
      <c r="C65">
        <v>21</v>
      </c>
      <c r="D65">
        <v>80</v>
      </c>
      <c r="E65" cm="1">
        <f t="array" ref="E65:G65">IF(D65="",_xlfn._xlws.SORT(B65:C65,1,1,TRUE),_xlfn._xlws.SORT(B65:D65,1,1,TRUE))</f>
        <v>21</v>
      </c>
      <c r="F65">
        <v>42</v>
      </c>
      <c r="G65">
        <v>80</v>
      </c>
      <c r="H65">
        <f t="shared" si="0"/>
        <v>2</v>
      </c>
      <c r="I65" t="s">
        <v>155</v>
      </c>
      <c r="J65" t="str">
        <f t="shared" si="1"/>
        <v>49-clean-v2</v>
      </c>
    </row>
    <row r="66" spans="1:10" x14ac:dyDescent="0.25">
      <c r="A66" t="s">
        <v>25</v>
      </c>
      <c r="B66">
        <v>2</v>
      </c>
      <c r="C66">
        <v>1</v>
      </c>
      <c r="D66">
        <v>3</v>
      </c>
      <c r="E66" cm="1">
        <f t="array" ref="E66:G66">IF(D66="",_xlfn._xlws.SORT(B66:C66,1,1,TRUE),_xlfn._xlws.SORT(B66:D66,1,1,TRUE))</f>
        <v>1</v>
      </c>
      <c r="F66">
        <v>2</v>
      </c>
      <c r="G66">
        <v>3</v>
      </c>
      <c r="H66">
        <f t="shared" si="0"/>
        <v>2</v>
      </c>
      <c r="I66" t="s">
        <v>155</v>
      </c>
      <c r="J66" t="str">
        <f t="shared" si="1"/>
        <v>49-obf-v0</v>
      </c>
    </row>
    <row r="67" spans="1:10" x14ac:dyDescent="0.25">
      <c r="A67" t="s">
        <v>69</v>
      </c>
      <c r="B67">
        <v>22</v>
      </c>
      <c r="C67">
        <v>10</v>
      </c>
      <c r="D67">
        <v>40</v>
      </c>
      <c r="E67" cm="1">
        <f t="array" ref="E67:G67">IF(D67="",_xlfn._xlws.SORT(B67:C67,1,1,TRUE),_xlfn._xlws.SORT(B67:D67,1,1,TRUE))</f>
        <v>10</v>
      </c>
      <c r="F67">
        <v>22</v>
      </c>
      <c r="G67">
        <v>40</v>
      </c>
      <c r="H67">
        <f t="shared" si="0"/>
        <v>2</v>
      </c>
      <c r="I67" t="s">
        <v>155</v>
      </c>
      <c r="J67" t="str">
        <f t="shared" si="1"/>
        <v>49-obf-v1</v>
      </c>
    </row>
    <row r="68" spans="1:10" x14ac:dyDescent="0.25">
      <c r="A68" t="s">
        <v>113</v>
      </c>
      <c r="B68">
        <v>42</v>
      </c>
      <c r="C68">
        <v>21</v>
      </c>
      <c r="D68">
        <v>80</v>
      </c>
      <c r="E68" cm="1">
        <f t="array" ref="E68:G68">IF(D68="",_xlfn._xlws.SORT(B68:C68,1,1,TRUE),_xlfn._xlws.SORT(B68:D68,1,1,TRUE))</f>
        <v>21</v>
      </c>
      <c r="F68">
        <v>42</v>
      </c>
      <c r="G68">
        <v>80</v>
      </c>
      <c r="H68">
        <f t="shared" ref="H68:H131" si="2">IF(B68=E68,1,IF(B68=F68,2,3))</f>
        <v>2</v>
      </c>
      <c r="I68" t="s">
        <v>155</v>
      </c>
      <c r="J68" t="str">
        <f t="shared" ref="J68:J131" si="3">LEFT(A68,LEN(A68)-4)</f>
        <v>49-obf-v2</v>
      </c>
    </row>
    <row r="69" spans="1:10" x14ac:dyDescent="0.25">
      <c r="A69" t="s">
        <v>22</v>
      </c>
      <c r="B69">
        <v>0</v>
      </c>
      <c r="C69">
        <v>-1</v>
      </c>
      <c r="D69">
        <v>-2</v>
      </c>
      <c r="E69" cm="1">
        <f t="array" ref="E69:G69">IF(D69="",_xlfn._xlws.SORT(B69:C69,1,1,TRUE),_xlfn._xlws.SORT(B69:D69,1,1,TRUE))</f>
        <v>-2</v>
      </c>
      <c r="F69">
        <v>-1</v>
      </c>
      <c r="G69">
        <v>0</v>
      </c>
      <c r="H69">
        <f t="shared" si="2"/>
        <v>3</v>
      </c>
      <c r="I69" t="s">
        <v>155</v>
      </c>
      <c r="J69" t="str">
        <f t="shared" si="3"/>
        <v>4-clean-v0</v>
      </c>
    </row>
    <row r="70" spans="1:10" x14ac:dyDescent="0.25">
      <c r="A70" t="s">
        <v>66</v>
      </c>
      <c r="B70">
        <v>6</v>
      </c>
      <c r="C70">
        <v>4</v>
      </c>
      <c r="D70">
        <v>3</v>
      </c>
      <c r="E70" cm="1">
        <f t="array" ref="E70:G70">IF(D70="",_xlfn._xlws.SORT(B70:C70,1,1,TRUE),_xlfn._xlws.SORT(B70:D70,1,1,TRUE))</f>
        <v>3</v>
      </c>
      <c r="F70">
        <v>4</v>
      </c>
      <c r="G70">
        <v>6</v>
      </c>
      <c r="H70">
        <f t="shared" si="2"/>
        <v>3</v>
      </c>
      <c r="I70" t="s">
        <v>155</v>
      </c>
      <c r="J70" t="str">
        <f t="shared" si="3"/>
        <v>4-clean-v1</v>
      </c>
    </row>
    <row r="71" spans="1:10" x14ac:dyDescent="0.25">
      <c r="A71" t="s">
        <v>110</v>
      </c>
      <c r="B71">
        <v>7</v>
      </c>
      <c r="C71">
        <v>16</v>
      </c>
      <c r="D71">
        <v>8</v>
      </c>
      <c r="E71" cm="1">
        <f t="array" ref="E71:G71">IF(D71="",_xlfn._xlws.SORT(B71:C71,1,1,TRUE),_xlfn._xlws.SORT(B71:D71,1,1,TRUE))</f>
        <v>7</v>
      </c>
      <c r="F71">
        <v>8</v>
      </c>
      <c r="G71">
        <v>16</v>
      </c>
      <c r="H71">
        <f t="shared" si="2"/>
        <v>1</v>
      </c>
      <c r="I71" t="s">
        <v>155</v>
      </c>
      <c r="J71" t="str">
        <f t="shared" si="3"/>
        <v>4-clean-v2</v>
      </c>
    </row>
    <row r="72" spans="1:10" x14ac:dyDescent="0.25">
      <c r="A72" t="s">
        <v>23</v>
      </c>
      <c r="B72">
        <v>0</v>
      </c>
      <c r="C72">
        <v>-1</v>
      </c>
      <c r="D72">
        <v>-2</v>
      </c>
      <c r="E72" cm="1">
        <f t="array" ref="E72:G72">IF(D72="",_xlfn._xlws.SORT(B72:C72,1,1,TRUE),_xlfn._xlws.SORT(B72:D72,1,1,TRUE))</f>
        <v>-2</v>
      </c>
      <c r="F72">
        <v>-1</v>
      </c>
      <c r="G72">
        <v>0</v>
      </c>
      <c r="H72">
        <f t="shared" si="2"/>
        <v>3</v>
      </c>
      <c r="I72" t="s">
        <v>155</v>
      </c>
      <c r="J72" t="str">
        <f t="shared" si="3"/>
        <v>4-obf-v0</v>
      </c>
    </row>
    <row r="73" spans="1:10" x14ac:dyDescent="0.25">
      <c r="A73" t="s">
        <v>67</v>
      </c>
      <c r="B73">
        <v>6</v>
      </c>
      <c r="C73">
        <v>4</v>
      </c>
      <c r="D73">
        <v>3</v>
      </c>
      <c r="E73" cm="1">
        <f t="array" ref="E73:G73">IF(D73="",_xlfn._xlws.SORT(B73:C73,1,1,TRUE),_xlfn._xlws.SORT(B73:D73,1,1,TRUE))</f>
        <v>3</v>
      </c>
      <c r="F73">
        <v>4</v>
      </c>
      <c r="G73">
        <v>6</v>
      </c>
      <c r="H73">
        <f t="shared" si="2"/>
        <v>3</v>
      </c>
      <c r="I73" t="s">
        <v>155</v>
      </c>
      <c r="J73" t="str">
        <f t="shared" si="3"/>
        <v>4-obf-v1</v>
      </c>
    </row>
    <row r="74" spans="1:10" x14ac:dyDescent="0.25">
      <c r="A74" t="s">
        <v>111</v>
      </c>
      <c r="B74">
        <v>7</v>
      </c>
      <c r="C74">
        <v>16</v>
      </c>
      <c r="D74">
        <v>8</v>
      </c>
      <c r="E74" cm="1">
        <f t="array" ref="E74:G74">IF(D74="",_xlfn._xlws.SORT(B74:C74,1,1,TRUE),_xlfn._xlws.SORT(B74:D74,1,1,TRUE))</f>
        <v>7</v>
      </c>
      <c r="F74">
        <v>8</v>
      </c>
      <c r="G74">
        <v>16</v>
      </c>
      <c r="H74">
        <f t="shared" si="2"/>
        <v>1</v>
      </c>
      <c r="I74" t="s">
        <v>155</v>
      </c>
      <c r="J74" t="str">
        <f t="shared" si="3"/>
        <v>4-obf-v2</v>
      </c>
    </row>
    <row r="75" spans="1:10" x14ac:dyDescent="0.25">
      <c r="A75" t="s">
        <v>28</v>
      </c>
      <c r="B75">
        <v>0</v>
      </c>
      <c r="C75">
        <v>15</v>
      </c>
      <c r="D75">
        <v>12</v>
      </c>
      <c r="E75" cm="1">
        <f t="array" ref="E75:G75">IF(D75="",_xlfn._xlws.SORT(B75:C75,1,1,TRUE),_xlfn._xlws.SORT(B75:D75,1,1,TRUE))</f>
        <v>0</v>
      </c>
      <c r="F75">
        <v>12</v>
      </c>
      <c r="G75">
        <v>15</v>
      </c>
      <c r="H75">
        <f t="shared" si="2"/>
        <v>1</v>
      </c>
      <c r="I75" t="s">
        <v>155</v>
      </c>
      <c r="J75" t="str">
        <f t="shared" si="3"/>
        <v>54-clean-v0</v>
      </c>
    </row>
    <row r="76" spans="1:10" x14ac:dyDescent="0.25">
      <c r="A76" t="s">
        <v>72</v>
      </c>
      <c r="B76">
        <v>9</v>
      </c>
      <c r="C76">
        <v>15</v>
      </c>
      <c r="D76">
        <v>24</v>
      </c>
      <c r="E76" cm="1">
        <f t="array" ref="E76:G76">IF(D76="",_xlfn._xlws.SORT(B76:C76,1,1,TRUE),_xlfn._xlws.SORT(B76:D76,1,1,TRUE))</f>
        <v>9</v>
      </c>
      <c r="F76">
        <v>15</v>
      </c>
      <c r="G76">
        <v>24</v>
      </c>
      <c r="H76">
        <f t="shared" si="2"/>
        <v>1</v>
      </c>
      <c r="I76" t="s">
        <v>155</v>
      </c>
      <c r="J76" t="str">
        <f t="shared" si="3"/>
        <v>54-clean-v1</v>
      </c>
    </row>
    <row r="77" spans="1:10" x14ac:dyDescent="0.25">
      <c r="A77" t="s">
        <v>116</v>
      </c>
      <c r="B77">
        <v>0</v>
      </c>
      <c r="C77">
        <v>6</v>
      </c>
      <c r="D77">
        <v>2</v>
      </c>
      <c r="E77" cm="1">
        <f t="array" ref="E77:G77">IF(D77="",_xlfn._xlws.SORT(B77:C77,1,1,TRUE),_xlfn._xlws.SORT(B77:D77,1,1,TRUE))</f>
        <v>0</v>
      </c>
      <c r="F77">
        <v>2</v>
      </c>
      <c r="G77">
        <v>6</v>
      </c>
      <c r="H77">
        <f t="shared" si="2"/>
        <v>1</v>
      </c>
      <c r="I77" t="s">
        <v>155</v>
      </c>
      <c r="J77" t="str">
        <f t="shared" si="3"/>
        <v>54-clean-v2</v>
      </c>
    </row>
    <row r="78" spans="1:10" x14ac:dyDescent="0.25">
      <c r="A78" t="s">
        <v>29</v>
      </c>
      <c r="B78">
        <v>0</v>
      </c>
      <c r="C78">
        <v>15</v>
      </c>
      <c r="D78">
        <v>12</v>
      </c>
      <c r="E78" cm="1">
        <f t="array" ref="E78:G78">IF(D78="",_xlfn._xlws.SORT(B78:C78,1,1,TRUE),_xlfn._xlws.SORT(B78:D78,1,1,TRUE))</f>
        <v>0</v>
      </c>
      <c r="F78">
        <v>12</v>
      </c>
      <c r="G78">
        <v>15</v>
      </c>
      <c r="H78">
        <f t="shared" si="2"/>
        <v>1</v>
      </c>
      <c r="I78" t="s">
        <v>155</v>
      </c>
      <c r="J78" t="str">
        <f t="shared" si="3"/>
        <v>54-obf-v0</v>
      </c>
    </row>
    <row r="79" spans="1:10" x14ac:dyDescent="0.25">
      <c r="A79" t="s">
        <v>73</v>
      </c>
      <c r="B79">
        <v>9</v>
      </c>
      <c r="C79">
        <v>15</v>
      </c>
      <c r="D79">
        <v>24</v>
      </c>
      <c r="E79" cm="1">
        <f t="array" ref="E79:G79">IF(D79="",_xlfn._xlws.SORT(B79:C79,1,1,TRUE),_xlfn._xlws.SORT(B79:D79,1,1,TRUE))</f>
        <v>9</v>
      </c>
      <c r="F79">
        <v>15</v>
      </c>
      <c r="G79">
        <v>24</v>
      </c>
      <c r="H79">
        <f t="shared" si="2"/>
        <v>1</v>
      </c>
      <c r="I79" t="s">
        <v>155</v>
      </c>
      <c r="J79" t="str">
        <f t="shared" si="3"/>
        <v>54-obf-v1</v>
      </c>
    </row>
    <row r="80" spans="1:10" x14ac:dyDescent="0.25">
      <c r="A80" t="s">
        <v>117</v>
      </c>
      <c r="B80">
        <v>0</v>
      </c>
      <c r="C80">
        <v>6</v>
      </c>
      <c r="D80">
        <v>2</v>
      </c>
      <c r="E80" cm="1">
        <f t="array" ref="E80:G80">IF(D80="",_xlfn._xlws.SORT(B80:C80,1,1,TRUE),_xlfn._xlws.SORT(B80:D80,1,1,TRUE))</f>
        <v>0</v>
      </c>
      <c r="F80">
        <v>2</v>
      </c>
      <c r="G80">
        <v>6</v>
      </c>
      <c r="H80">
        <f t="shared" si="2"/>
        <v>1</v>
      </c>
      <c r="I80" t="s">
        <v>155</v>
      </c>
      <c r="J80" t="str">
        <f t="shared" si="3"/>
        <v>54-obf-v2</v>
      </c>
    </row>
    <row r="81" spans="1:10" x14ac:dyDescent="0.25">
      <c r="A81" t="s">
        <v>30</v>
      </c>
      <c r="B81">
        <v>8</v>
      </c>
      <c r="C81">
        <v>5</v>
      </c>
      <c r="D81">
        <v>10</v>
      </c>
      <c r="E81" cm="1">
        <f t="array" ref="E81:G81">IF(D81="",_xlfn._xlws.SORT(B81:C81,1,1,TRUE),_xlfn._xlws.SORT(B81:D81,1,1,TRUE))</f>
        <v>5</v>
      </c>
      <c r="F81">
        <v>8</v>
      </c>
      <c r="G81">
        <v>10</v>
      </c>
      <c r="H81">
        <f t="shared" si="2"/>
        <v>2</v>
      </c>
      <c r="I81" t="s">
        <v>155</v>
      </c>
      <c r="J81" t="str">
        <f t="shared" si="3"/>
        <v>57-clean-v0</v>
      </c>
    </row>
    <row r="82" spans="1:10" x14ac:dyDescent="0.25">
      <c r="A82" t="s">
        <v>74</v>
      </c>
      <c r="B82">
        <v>10</v>
      </c>
      <c r="C82">
        <v>13</v>
      </c>
      <c r="D82">
        <v>6</v>
      </c>
      <c r="E82" cm="1">
        <f t="array" ref="E82:G82">IF(D82="",_xlfn._xlws.SORT(B82:C82,1,1,TRUE),_xlfn._xlws.SORT(B82:D82,1,1,TRUE))</f>
        <v>6</v>
      </c>
      <c r="F82">
        <v>10</v>
      </c>
      <c r="G82">
        <v>13</v>
      </c>
      <c r="H82">
        <f t="shared" si="2"/>
        <v>2</v>
      </c>
      <c r="I82" t="s">
        <v>155</v>
      </c>
      <c r="J82" t="str">
        <f t="shared" si="3"/>
        <v>57-clean-v1</v>
      </c>
    </row>
    <row r="83" spans="1:10" x14ac:dyDescent="0.25">
      <c r="A83" t="s">
        <v>118</v>
      </c>
      <c r="B83">
        <v>21</v>
      </c>
      <c r="C83">
        <v>20</v>
      </c>
      <c r="D83">
        <v>22</v>
      </c>
      <c r="E83" cm="1">
        <f t="array" ref="E83:G83">IF(D83="",_xlfn._xlws.SORT(B83:C83,1,1,TRUE),_xlfn._xlws.SORT(B83:D83,1,1,TRUE))</f>
        <v>20</v>
      </c>
      <c r="F83">
        <v>21</v>
      </c>
      <c r="G83">
        <v>22</v>
      </c>
      <c r="H83">
        <f t="shared" si="2"/>
        <v>2</v>
      </c>
      <c r="I83" t="s">
        <v>155</v>
      </c>
      <c r="J83" t="str">
        <f t="shared" si="3"/>
        <v>57-clean-v2</v>
      </c>
    </row>
    <row r="84" spans="1:10" x14ac:dyDescent="0.25">
      <c r="A84" t="s">
        <v>31</v>
      </c>
      <c r="B84">
        <v>8</v>
      </c>
      <c r="C84">
        <v>5</v>
      </c>
      <c r="D84">
        <v>10</v>
      </c>
      <c r="E84" cm="1">
        <f t="array" ref="E84:G84">IF(D84="",_xlfn._xlws.SORT(B84:C84,1,1,TRUE),_xlfn._xlws.SORT(B84:D84,1,1,TRUE))</f>
        <v>5</v>
      </c>
      <c r="F84">
        <v>8</v>
      </c>
      <c r="G84">
        <v>10</v>
      </c>
      <c r="H84">
        <f t="shared" si="2"/>
        <v>2</v>
      </c>
      <c r="I84" t="s">
        <v>155</v>
      </c>
      <c r="J84" t="str">
        <f t="shared" si="3"/>
        <v>57-obf-v0</v>
      </c>
    </row>
    <row r="85" spans="1:10" x14ac:dyDescent="0.25">
      <c r="A85" t="s">
        <v>75</v>
      </c>
      <c r="B85">
        <v>10</v>
      </c>
      <c r="C85">
        <v>13</v>
      </c>
      <c r="D85">
        <v>6</v>
      </c>
      <c r="E85" cm="1">
        <f t="array" ref="E85:G85">IF(D85="",_xlfn._xlws.SORT(B85:C85,1,1,TRUE),_xlfn._xlws.SORT(B85:D85,1,1,TRUE))</f>
        <v>6</v>
      </c>
      <c r="F85">
        <v>10</v>
      </c>
      <c r="G85">
        <v>13</v>
      </c>
      <c r="H85">
        <f t="shared" si="2"/>
        <v>2</v>
      </c>
      <c r="I85" t="s">
        <v>155</v>
      </c>
      <c r="J85" t="str">
        <f t="shared" si="3"/>
        <v>57-obf-v1</v>
      </c>
    </row>
    <row r="86" spans="1:10" x14ac:dyDescent="0.25">
      <c r="A86" t="s">
        <v>119</v>
      </c>
      <c r="B86">
        <v>21</v>
      </c>
      <c r="C86">
        <v>20</v>
      </c>
      <c r="D86">
        <v>22</v>
      </c>
      <c r="E86" cm="1">
        <f t="array" ref="E86:G86">IF(D86="",_xlfn._xlws.SORT(B86:C86,1,1,TRUE),_xlfn._xlws.SORT(B86:D86,1,1,TRUE))</f>
        <v>20</v>
      </c>
      <c r="F86">
        <v>21</v>
      </c>
      <c r="G86">
        <v>22</v>
      </c>
      <c r="H86">
        <f t="shared" si="2"/>
        <v>2</v>
      </c>
      <c r="I86" t="s">
        <v>155</v>
      </c>
      <c r="J86" t="str">
        <f t="shared" si="3"/>
        <v>57-obf-v2</v>
      </c>
    </row>
    <row r="87" spans="1:10" x14ac:dyDescent="0.25">
      <c r="A87" t="s">
        <v>26</v>
      </c>
      <c r="B87" t="s">
        <v>2</v>
      </c>
      <c r="C87" t="s">
        <v>3</v>
      </c>
      <c r="D87" t="s">
        <v>418</v>
      </c>
      <c r="E87" t="str" cm="1">
        <f t="array" ref="E87:F87">IF(D87="EMPTY",_xlfn._xlws.SORT(B87:C87,1,1,TRUE),_xlfn._xlws.SORT(B87:D87,1,1,TRUE))</f>
        <v>false</v>
      </c>
      <c r="F87" t="str">
        <v>true</v>
      </c>
      <c r="G87" t="s">
        <v>418</v>
      </c>
      <c r="H87">
        <f t="shared" si="2"/>
        <v>2</v>
      </c>
      <c r="I87" t="s">
        <v>379</v>
      </c>
      <c r="J87" t="str">
        <f t="shared" si="3"/>
        <v>5-clean-v0</v>
      </c>
    </row>
    <row r="88" spans="1:10" x14ac:dyDescent="0.25">
      <c r="A88" t="s">
        <v>70</v>
      </c>
      <c r="B88" t="s">
        <v>2</v>
      </c>
      <c r="C88" t="s">
        <v>3</v>
      </c>
      <c r="D88" t="s">
        <v>418</v>
      </c>
      <c r="E88" t="str" cm="1">
        <f t="array" ref="E88:F88">IF(D88="EMPTY",_xlfn._xlws.SORT(B88:C88,1,1,TRUE),_xlfn._xlws.SORT(B88:D88,1,1,TRUE))</f>
        <v>false</v>
      </c>
      <c r="F88" t="str">
        <v>true</v>
      </c>
      <c r="G88" t="s">
        <v>418</v>
      </c>
      <c r="H88">
        <f t="shared" si="2"/>
        <v>2</v>
      </c>
      <c r="I88" t="s">
        <v>379</v>
      </c>
      <c r="J88" t="str">
        <f t="shared" si="3"/>
        <v>5-clean-v1</v>
      </c>
    </row>
    <row r="89" spans="1:10" x14ac:dyDescent="0.25">
      <c r="A89" t="s">
        <v>114</v>
      </c>
      <c r="B89" t="s">
        <v>3</v>
      </c>
      <c r="C89" t="s">
        <v>2</v>
      </c>
      <c r="D89" t="s">
        <v>418</v>
      </c>
      <c r="E89" t="str" cm="1">
        <f t="array" ref="E89:F89">IF(D89="EMPTY",_xlfn._xlws.SORT(B89:C89,1,1,TRUE),_xlfn._xlws.SORT(B89:D89,1,1,TRUE))</f>
        <v>false</v>
      </c>
      <c r="F89" t="str">
        <v>true</v>
      </c>
      <c r="G89" t="s">
        <v>418</v>
      </c>
      <c r="H89">
        <f t="shared" si="2"/>
        <v>1</v>
      </c>
      <c r="I89" t="s">
        <v>379</v>
      </c>
      <c r="J89" t="str">
        <f t="shared" si="3"/>
        <v>5-clean-v2</v>
      </c>
    </row>
    <row r="90" spans="1:10" x14ac:dyDescent="0.25">
      <c r="A90" t="s">
        <v>27</v>
      </c>
      <c r="B90" t="s">
        <v>2</v>
      </c>
      <c r="C90" t="s">
        <v>3</v>
      </c>
      <c r="D90" t="s">
        <v>418</v>
      </c>
      <c r="E90" t="str" cm="1">
        <f t="array" ref="E90:F90">IF(D90="EMPTY",_xlfn._xlws.SORT(B90:C90,1,1,TRUE),_xlfn._xlws.SORT(B90:D90,1,1,TRUE))</f>
        <v>false</v>
      </c>
      <c r="F90" t="str">
        <v>true</v>
      </c>
      <c r="G90" t="s">
        <v>418</v>
      </c>
      <c r="H90">
        <f t="shared" si="2"/>
        <v>2</v>
      </c>
      <c r="I90" t="s">
        <v>379</v>
      </c>
      <c r="J90" t="str">
        <f t="shared" si="3"/>
        <v>5-obf-v0</v>
      </c>
    </row>
    <row r="91" spans="1:10" x14ac:dyDescent="0.25">
      <c r="A91" t="s">
        <v>71</v>
      </c>
      <c r="B91" t="s">
        <v>2</v>
      </c>
      <c r="C91" t="s">
        <v>3</v>
      </c>
      <c r="D91" t="s">
        <v>418</v>
      </c>
      <c r="E91" t="str" cm="1">
        <f t="array" ref="E91:F91">IF(D91="EMPTY",_xlfn._xlws.SORT(B91:C91,1,1,TRUE),_xlfn._xlws.SORT(B91:D91,1,1,TRUE))</f>
        <v>false</v>
      </c>
      <c r="F91" t="str">
        <v>true</v>
      </c>
      <c r="G91" t="s">
        <v>418</v>
      </c>
      <c r="H91">
        <f t="shared" si="2"/>
        <v>2</v>
      </c>
      <c r="I91" t="s">
        <v>379</v>
      </c>
      <c r="J91" t="str">
        <f t="shared" si="3"/>
        <v>5-obf-v1</v>
      </c>
    </row>
    <row r="92" spans="1:10" x14ac:dyDescent="0.25">
      <c r="A92" t="s">
        <v>115</v>
      </c>
      <c r="B92" t="s">
        <v>3</v>
      </c>
      <c r="C92" t="s">
        <v>2</v>
      </c>
      <c r="D92" t="s">
        <v>418</v>
      </c>
      <c r="E92" t="str" cm="1">
        <f t="array" ref="E92:F92">IF(D92="EMPTY",_xlfn._xlws.SORT(B92:C92,1,1,TRUE),_xlfn._xlws.SORT(B92:D92,1,1,TRUE))</f>
        <v>false</v>
      </c>
      <c r="F92" t="str">
        <v>true</v>
      </c>
      <c r="G92" t="s">
        <v>418</v>
      </c>
      <c r="H92">
        <f t="shared" si="2"/>
        <v>1</v>
      </c>
      <c r="I92" t="s">
        <v>379</v>
      </c>
      <c r="J92" t="str">
        <f t="shared" si="3"/>
        <v>5-obf-v2</v>
      </c>
    </row>
    <row r="93" spans="1:10" x14ac:dyDescent="0.25">
      <c r="A93" t="s">
        <v>34</v>
      </c>
      <c r="B93">
        <v>32</v>
      </c>
      <c r="C93" s="6">
        <v>256</v>
      </c>
      <c r="D93">
        <v>288</v>
      </c>
      <c r="E93" cm="1">
        <f t="array" ref="E93:G93">IF(D93="",_xlfn._xlws.SORT(B93:C93,1,1,TRUE),_xlfn._xlws.SORT(B93:D93,1,1,TRUE))</f>
        <v>32</v>
      </c>
      <c r="F93">
        <v>256</v>
      </c>
      <c r="G93">
        <v>288</v>
      </c>
      <c r="H93">
        <f t="shared" si="2"/>
        <v>1</v>
      </c>
      <c r="I93" t="s">
        <v>155</v>
      </c>
      <c r="J93" t="str">
        <f t="shared" si="3"/>
        <v>60-clean-v0</v>
      </c>
    </row>
    <row r="94" spans="1:10" x14ac:dyDescent="0.25">
      <c r="A94" t="s">
        <v>78</v>
      </c>
      <c r="B94">
        <v>0</v>
      </c>
      <c r="C94">
        <v>2</v>
      </c>
      <c r="D94">
        <v>512</v>
      </c>
      <c r="E94" cm="1">
        <f t="array" ref="E94:G94">IF(D94="",_xlfn._xlws.SORT(B94:C94,1,1,TRUE),_xlfn._xlws.SORT(B94:D94,1,1,TRUE))</f>
        <v>0</v>
      </c>
      <c r="F94">
        <v>2</v>
      </c>
      <c r="G94">
        <v>512</v>
      </c>
      <c r="H94">
        <f t="shared" si="2"/>
        <v>1</v>
      </c>
      <c r="I94" t="s">
        <v>155</v>
      </c>
      <c r="J94" t="str">
        <f t="shared" si="3"/>
        <v>60-clean-v1</v>
      </c>
    </row>
    <row r="95" spans="1:10" x14ac:dyDescent="0.25">
      <c r="A95" t="s">
        <v>122</v>
      </c>
      <c r="B95">
        <v>40</v>
      </c>
      <c r="C95">
        <v>255</v>
      </c>
      <c r="D95">
        <v>296</v>
      </c>
      <c r="E95" cm="1">
        <f t="array" ref="E95:G95">IF(D95="",_xlfn._xlws.SORT(B95:C95,1,1,TRUE),_xlfn._xlws.SORT(B95:D95,1,1,TRUE))</f>
        <v>40</v>
      </c>
      <c r="F95">
        <v>255</v>
      </c>
      <c r="G95">
        <v>296</v>
      </c>
      <c r="H95">
        <f t="shared" si="2"/>
        <v>1</v>
      </c>
      <c r="I95" t="s">
        <v>155</v>
      </c>
      <c r="J95" t="str">
        <f t="shared" si="3"/>
        <v>60-clean-v2</v>
      </c>
    </row>
    <row r="96" spans="1:10" x14ac:dyDescent="0.25">
      <c r="A96" t="s">
        <v>35</v>
      </c>
      <c r="B96">
        <v>32</v>
      </c>
      <c r="C96" s="6">
        <v>256</v>
      </c>
      <c r="D96">
        <v>288</v>
      </c>
      <c r="E96" cm="1">
        <f t="array" ref="E96:G96">IF(D96="",_xlfn._xlws.SORT(B96:C96,1,1,TRUE),_xlfn._xlws.SORT(B96:D96,1,1,TRUE))</f>
        <v>32</v>
      </c>
      <c r="F96">
        <v>256</v>
      </c>
      <c r="G96">
        <v>288</v>
      </c>
      <c r="H96">
        <f t="shared" si="2"/>
        <v>1</v>
      </c>
      <c r="I96" t="s">
        <v>155</v>
      </c>
      <c r="J96" t="str">
        <f t="shared" si="3"/>
        <v>60-obf-v0</v>
      </c>
    </row>
    <row r="97" spans="1:10" x14ac:dyDescent="0.25">
      <c r="A97" t="s">
        <v>79</v>
      </c>
      <c r="B97">
        <v>0</v>
      </c>
      <c r="C97">
        <v>2</v>
      </c>
      <c r="D97">
        <v>512</v>
      </c>
      <c r="E97" cm="1">
        <f t="array" ref="E97:G97">IF(D97="",_xlfn._xlws.SORT(B97:C97,1,1,TRUE),_xlfn._xlws.SORT(B97:D97,1,1,TRUE))</f>
        <v>0</v>
      </c>
      <c r="F97">
        <v>2</v>
      </c>
      <c r="G97">
        <v>512</v>
      </c>
      <c r="H97">
        <f t="shared" si="2"/>
        <v>1</v>
      </c>
      <c r="I97" t="s">
        <v>155</v>
      </c>
      <c r="J97" t="str">
        <f t="shared" si="3"/>
        <v>60-obf-v1</v>
      </c>
    </row>
    <row r="98" spans="1:10" x14ac:dyDescent="0.25">
      <c r="A98" t="s">
        <v>123</v>
      </c>
      <c r="B98">
        <v>40</v>
      </c>
      <c r="C98">
        <v>255</v>
      </c>
      <c r="D98">
        <v>296</v>
      </c>
      <c r="E98" cm="1">
        <f t="array" ref="E98:G98">IF(D98="",_xlfn._xlws.SORT(B98:C98,1,1,TRUE),_xlfn._xlws.SORT(B98:D98,1,1,TRUE))</f>
        <v>40</v>
      </c>
      <c r="F98">
        <v>255</v>
      </c>
      <c r="G98">
        <v>296</v>
      </c>
      <c r="H98">
        <f t="shared" si="2"/>
        <v>1</v>
      </c>
      <c r="I98" t="s">
        <v>155</v>
      </c>
      <c r="J98" t="str">
        <f t="shared" si="3"/>
        <v>60-obf-v2</v>
      </c>
    </row>
    <row r="99" spans="1:10" x14ac:dyDescent="0.25">
      <c r="A99" t="s">
        <v>36</v>
      </c>
      <c r="B99">
        <v>4</v>
      </c>
      <c r="C99">
        <v>2</v>
      </c>
      <c r="D99">
        <v>0</v>
      </c>
      <c r="E99" cm="1">
        <f t="array" ref="E99:G99">IF(D99="",_xlfn._xlws.SORT(B99:C99,1,1,TRUE),_xlfn._xlws.SORT(B99:D99,1,1,TRUE))</f>
        <v>0</v>
      </c>
      <c r="F99">
        <v>2</v>
      </c>
      <c r="G99">
        <v>4</v>
      </c>
      <c r="H99">
        <f t="shared" si="2"/>
        <v>3</v>
      </c>
      <c r="I99" t="s">
        <v>155</v>
      </c>
      <c r="J99" t="str">
        <f t="shared" si="3"/>
        <v>61-clean-v0</v>
      </c>
    </row>
    <row r="100" spans="1:10" x14ac:dyDescent="0.25">
      <c r="A100" t="s">
        <v>80</v>
      </c>
      <c r="B100">
        <v>256</v>
      </c>
      <c r="C100">
        <v>128</v>
      </c>
      <c r="D100">
        <v>42</v>
      </c>
      <c r="E100" cm="1">
        <f t="array" ref="E100:G100">IF(D100="",_xlfn._xlws.SORT(B100:C100,1,1,TRUE),_xlfn._xlws.SORT(B100:D100,1,1,TRUE))</f>
        <v>42</v>
      </c>
      <c r="F100">
        <v>128</v>
      </c>
      <c r="G100">
        <v>256</v>
      </c>
      <c r="H100">
        <f t="shared" si="2"/>
        <v>3</v>
      </c>
      <c r="I100" t="s">
        <v>155</v>
      </c>
      <c r="J100" t="str">
        <f t="shared" si="3"/>
        <v>61-clean-v1</v>
      </c>
    </row>
    <row r="101" spans="1:10" x14ac:dyDescent="0.25">
      <c r="A101" t="s">
        <v>124</v>
      </c>
      <c r="B101">
        <v>66</v>
      </c>
      <c r="C101">
        <v>6</v>
      </c>
      <c r="D101">
        <v>60</v>
      </c>
      <c r="E101" cm="1">
        <f t="array" ref="E101:G101">IF(D101="",_xlfn._xlws.SORT(B101:C101,1,1,TRUE),_xlfn._xlws.SORT(B101:D101,1,1,TRUE))</f>
        <v>6</v>
      </c>
      <c r="F101">
        <v>60</v>
      </c>
      <c r="G101">
        <v>66</v>
      </c>
      <c r="H101">
        <f t="shared" si="2"/>
        <v>3</v>
      </c>
      <c r="I101" t="s">
        <v>155</v>
      </c>
      <c r="J101" t="str">
        <f t="shared" si="3"/>
        <v>61-clean-v2</v>
      </c>
    </row>
    <row r="102" spans="1:10" x14ac:dyDescent="0.25">
      <c r="A102" t="s">
        <v>37</v>
      </c>
      <c r="B102">
        <v>4</v>
      </c>
      <c r="C102">
        <v>2</v>
      </c>
      <c r="D102">
        <v>0</v>
      </c>
      <c r="E102" cm="1">
        <f t="array" ref="E102:G102">IF(D102="",_xlfn._xlws.SORT(B102:C102,1,1,TRUE),_xlfn._xlws.SORT(B102:D102,1,1,TRUE))</f>
        <v>0</v>
      </c>
      <c r="F102">
        <v>2</v>
      </c>
      <c r="G102">
        <v>4</v>
      </c>
      <c r="H102">
        <f t="shared" si="2"/>
        <v>3</v>
      </c>
      <c r="I102" t="s">
        <v>155</v>
      </c>
      <c r="J102" t="str">
        <f t="shared" si="3"/>
        <v>61-obf-v0</v>
      </c>
    </row>
    <row r="103" spans="1:10" x14ac:dyDescent="0.25">
      <c r="A103" t="s">
        <v>81</v>
      </c>
      <c r="B103">
        <v>256</v>
      </c>
      <c r="C103">
        <v>128</v>
      </c>
      <c r="D103">
        <v>42</v>
      </c>
      <c r="E103" cm="1">
        <f t="array" ref="E103:G103">IF(D103="",_xlfn._xlws.SORT(B103:C103,1,1,TRUE),_xlfn._xlws.SORT(B103:D103,1,1,TRUE))</f>
        <v>42</v>
      </c>
      <c r="F103">
        <v>128</v>
      </c>
      <c r="G103">
        <v>256</v>
      </c>
      <c r="H103">
        <f t="shared" si="2"/>
        <v>3</v>
      </c>
      <c r="I103" t="s">
        <v>155</v>
      </c>
      <c r="J103" t="str">
        <f t="shared" si="3"/>
        <v>61-obf-v1</v>
      </c>
    </row>
    <row r="104" spans="1:10" x14ac:dyDescent="0.25">
      <c r="A104" t="s">
        <v>125</v>
      </c>
      <c r="B104">
        <v>66</v>
      </c>
      <c r="C104">
        <v>6</v>
      </c>
      <c r="D104">
        <v>60</v>
      </c>
      <c r="E104" cm="1">
        <f t="array" ref="E104:G104">IF(D104="",_xlfn._xlws.SORT(B104:C104,1,1,TRUE),_xlfn._xlws.SORT(B104:D104,1,1,TRUE))</f>
        <v>6</v>
      </c>
      <c r="F104">
        <v>60</v>
      </c>
      <c r="G104">
        <v>66</v>
      </c>
      <c r="H104">
        <f t="shared" si="2"/>
        <v>3</v>
      </c>
      <c r="I104" t="s">
        <v>155</v>
      </c>
      <c r="J104" t="str">
        <f t="shared" si="3"/>
        <v>61-obf-v2</v>
      </c>
    </row>
    <row r="105" spans="1:10" x14ac:dyDescent="0.25">
      <c r="A105" t="s">
        <v>38</v>
      </c>
      <c r="B105">
        <v>3</v>
      </c>
      <c r="C105">
        <v>6</v>
      </c>
      <c r="D105">
        <v>1</v>
      </c>
      <c r="E105" cm="1">
        <f t="array" ref="E105:G105">IF(D105="",_xlfn._xlws.SORT(B105:C105,1,1,TRUE),_xlfn._xlws.SORT(B105:D105,1,1,TRUE))</f>
        <v>1</v>
      </c>
      <c r="F105">
        <v>3</v>
      </c>
      <c r="G105">
        <v>6</v>
      </c>
      <c r="H105">
        <f t="shared" si="2"/>
        <v>2</v>
      </c>
      <c r="I105" t="s">
        <v>155</v>
      </c>
      <c r="J105" t="str">
        <f t="shared" si="3"/>
        <v>62-clean-v0</v>
      </c>
    </row>
    <row r="106" spans="1:10" x14ac:dyDescent="0.25">
      <c r="A106" t="s">
        <v>82</v>
      </c>
      <c r="B106">
        <v>60</v>
      </c>
      <c r="C106">
        <v>30</v>
      </c>
      <c r="D106">
        <v>84</v>
      </c>
      <c r="E106" cm="1">
        <f t="array" ref="E106:G106">IF(D106="",_xlfn._xlws.SORT(B106:C106,1,1,TRUE),_xlfn._xlws.SORT(B106:D106,1,1,TRUE))</f>
        <v>30</v>
      </c>
      <c r="F106">
        <v>60</v>
      </c>
      <c r="G106">
        <v>84</v>
      </c>
      <c r="H106">
        <f t="shared" si="2"/>
        <v>2</v>
      </c>
      <c r="I106" t="s">
        <v>155</v>
      </c>
      <c r="J106" t="str">
        <f t="shared" si="3"/>
        <v>62-clean-v1</v>
      </c>
    </row>
    <row r="107" spans="1:10" x14ac:dyDescent="0.25">
      <c r="A107" t="s">
        <v>126</v>
      </c>
      <c r="B107">
        <v>50</v>
      </c>
      <c r="C107">
        <v>500</v>
      </c>
      <c r="D107">
        <v>100</v>
      </c>
      <c r="E107" cm="1">
        <f t="array" ref="E107:G107">IF(D107="",_xlfn._xlws.SORT(B107:C107,1,1,TRUE),_xlfn._xlws.SORT(B107:D107,1,1,TRUE))</f>
        <v>50</v>
      </c>
      <c r="F107">
        <v>100</v>
      </c>
      <c r="G107">
        <v>500</v>
      </c>
      <c r="H107">
        <f t="shared" si="2"/>
        <v>1</v>
      </c>
      <c r="I107" t="s">
        <v>155</v>
      </c>
      <c r="J107" t="str">
        <f t="shared" si="3"/>
        <v>62-clean-v2</v>
      </c>
    </row>
    <row r="108" spans="1:10" x14ac:dyDescent="0.25">
      <c r="A108" t="s">
        <v>39</v>
      </c>
      <c r="B108">
        <v>3</v>
      </c>
      <c r="C108">
        <v>6</v>
      </c>
      <c r="D108">
        <v>1</v>
      </c>
      <c r="E108" cm="1">
        <f t="array" ref="E108:G108">IF(D108="",_xlfn._xlws.SORT(B108:C108,1,1,TRUE),_xlfn._xlws.SORT(B108:D108,1,1,TRUE))</f>
        <v>1</v>
      </c>
      <c r="F108">
        <v>3</v>
      </c>
      <c r="G108">
        <v>6</v>
      </c>
      <c r="H108">
        <f t="shared" si="2"/>
        <v>2</v>
      </c>
      <c r="I108" t="s">
        <v>155</v>
      </c>
      <c r="J108" t="str">
        <f t="shared" si="3"/>
        <v>62-obf-v0</v>
      </c>
    </row>
    <row r="109" spans="1:10" x14ac:dyDescent="0.25">
      <c r="A109" t="s">
        <v>83</v>
      </c>
      <c r="B109">
        <v>60</v>
      </c>
      <c r="C109">
        <v>30</v>
      </c>
      <c r="D109">
        <v>84</v>
      </c>
      <c r="E109" cm="1">
        <f t="array" ref="E109:G109">IF(D109="",_xlfn._xlws.SORT(B109:C109,1,1,TRUE),_xlfn._xlws.SORT(B109:D109,1,1,TRUE))</f>
        <v>30</v>
      </c>
      <c r="F109">
        <v>60</v>
      </c>
      <c r="G109">
        <v>84</v>
      </c>
      <c r="H109">
        <f t="shared" si="2"/>
        <v>2</v>
      </c>
      <c r="I109" t="s">
        <v>155</v>
      </c>
      <c r="J109" t="str">
        <f t="shared" si="3"/>
        <v>62-obf-v1</v>
      </c>
    </row>
    <row r="110" spans="1:10" x14ac:dyDescent="0.25">
      <c r="A110" t="s">
        <v>127</v>
      </c>
      <c r="B110">
        <v>50</v>
      </c>
      <c r="C110">
        <v>500</v>
      </c>
      <c r="D110">
        <v>100</v>
      </c>
      <c r="E110" cm="1">
        <f t="array" ref="E110:G110">IF(D110="",_xlfn._xlws.SORT(B110:C110,1,1,TRUE),_xlfn._xlws.SORT(B110:D110,1,1,TRUE))</f>
        <v>50</v>
      </c>
      <c r="F110">
        <v>100</v>
      </c>
      <c r="G110">
        <v>500</v>
      </c>
      <c r="H110">
        <f t="shared" si="2"/>
        <v>1</v>
      </c>
      <c r="I110" t="s">
        <v>155</v>
      </c>
      <c r="J110" t="str">
        <f t="shared" si="3"/>
        <v>62-obf-v2</v>
      </c>
    </row>
    <row r="111" spans="1:10" x14ac:dyDescent="0.25">
      <c r="A111" t="s">
        <v>40</v>
      </c>
      <c r="B111">
        <v>9</v>
      </c>
      <c r="C111">
        <v>7</v>
      </c>
      <c r="D111">
        <v>5</v>
      </c>
      <c r="E111" cm="1">
        <f t="array" ref="E111:G111">IF(D111="",_xlfn._xlws.SORT(B111:C111,1,1,TRUE),_xlfn._xlws.SORT(B111:D111,1,1,TRUE))</f>
        <v>5</v>
      </c>
      <c r="F111">
        <v>7</v>
      </c>
      <c r="G111">
        <v>9</v>
      </c>
      <c r="H111">
        <f t="shared" si="2"/>
        <v>3</v>
      </c>
      <c r="I111" t="s">
        <v>155</v>
      </c>
      <c r="J111" t="str">
        <f t="shared" si="3"/>
        <v>63-clean-v0</v>
      </c>
    </row>
    <row r="112" spans="1:10" x14ac:dyDescent="0.25">
      <c r="A112" t="s">
        <v>84</v>
      </c>
      <c r="B112">
        <v>5</v>
      </c>
      <c r="C112">
        <v>10</v>
      </c>
      <c r="D112">
        <v>12</v>
      </c>
      <c r="E112" cm="1">
        <f t="array" ref="E112:G112">IF(D112="",_xlfn._xlws.SORT(B112:C112,1,1,TRUE),_xlfn._xlws.SORT(B112:D112,1,1,TRUE))</f>
        <v>5</v>
      </c>
      <c r="F112">
        <v>10</v>
      </c>
      <c r="G112">
        <v>12</v>
      </c>
      <c r="H112">
        <f t="shared" si="2"/>
        <v>1</v>
      </c>
      <c r="I112" t="s">
        <v>155</v>
      </c>
      <c r="J112" t="str">
        <f t="shared" si="3"/>
        <v>63-clean-v1</v>
      </c>
    </row>
    <row r="113" spans="1:10" x14ac:dyDescent="0.25">
      <c r="A113" t="s">
        <v>128</v>
      </c>
      <c r="B113">
        <v>80</v>
      </c>
      <c r="C113">
        <v>50</v>
      </c>
      <c r="D113">
        <v>40</v>
      </c>
      <c r="E113" cm="1">
        <f t="array" ref="E113:G113">IF(D113="",_xlfn._xlws.SORT(B113:C113,1,1,TRUE),_xlfn._xlws.SORT(B113:D113,1,1,TRUE))</f>
        <v>40</v>
      </c>
      <c r="F113">
        <v>50</v>
      </c>
      <c r="G113">
        <v>80</v>
      </c>
      <c r="H113">
        <f t="shared" si="2"/>
        <v>3</v>
      </c>
      <c r="I113" t="s">
        <v>155</v>
      </c>
      <c r="J113" t="str">
        <f t="shared" si="3"/>
        <v>63-clean-v2</v>
      </c>
    </row>
    <row r="114" spans="1:10" x14ac:dyDescent="0.25">
      <c r="A114" t="s">
        <v>41</v>
      </c>
      <c r="B114">
        <v>9</v>
      </c>
      <c r="C114">
        <v>7</v>
      </c>
      <c r="D114">
        <v>5</v>
      </c>
      <c r="E114" cm="1">
        <f t="array" ref="E114:G114">IF(D114="",_xlfn._xlws.SORT(B114:C114,1,1,TRUE),_xlfn._xlws.SORT(B114:D114,1,1,TRUE))</f>
        <v>5</v>
      </c>
      <c r="F114">
        <v>7</v>
      </c>
      <c r="G114">
        <v>9</v>
      </c>
      <c r="H114">
        <f t="shared" si="2"/>
        <v>3</v>
      </c>
      <c r="I114" t="s">
        <v>155</v>
      </c>
      <c r="J114" t="str">
        <f t="shared" si="3"/>
        <v>63-obf-v0</v>
      </c>
    </row>
    <row r="115" spans="1:10" x14ac:dyDescent="0.25">
      <c r="A115" t="s">
        <v>85</v>
      </c>
      <c r="B115">
        <v>5</v>
      </c>
      <c r="C115">
        <v>10</v>
      </c>
      <c r="D115">
        <v>12</v>
      </c>
      <c r="E115" cm="1">
        <f t="array" ref="E115:G115">IF(D115="",_xlfn._xlws.SORT(B115:C115,1,1,TRUE),_xlfn._xlws.SORT(B115:D115,1,1,TRUE))</f>
        <v>5</v>
      </c>
      <c r="F115">
        <v>10</v>
      </c>
      <c r="G115">
        <v>12</v>
      </c>
      <c r="H115">
        <f t="shared" si="2"/>
        <v>1</v>
      </c>
      <c r="I115" t="s">
        <v>155</v>
      </c>
      <c r="J115" t="str">
        <f t="shared" si="3"/>
        <v>63-obf-v1</v>
      </c>
    </row>
    <row r="116" spans="1:10" x14ac:dyDescent="0.25">
      <c r="A116" t="s">
        <v>129</v>
      </c>
      <c r="B116">
        <v>80</v>
      </c>
      <c r="C116">
        <v>50</v>
      </c>
      <c r="D116">
        <v>40</v>
      </c>
      <c r="E116" cm="1">
        <f t="array" ref="E116:G116">IF(D116="",_xlfn._xlws.SORT(B116:C116,1,1,TRUE),_xlfn._xlws.SORT(B116:D116,1,1,TRUE))</f>
        <v>40</v>
      </c>
      <c r="F116">
        <v>50</v>
      </c>
      <c r="G116">
        <v>80</v>
      </c>
      <c r="H116">
        <f t="shared" si="2"/>
        <v>3</v>
      </c>
      <c r="I116" t="s">
        <v>155</v>
      </c>
      <c r="J116" t="str">
        <f t="shared" si="3"/>
        <v>63-obf-v2</v>
      </c>
    </row>
    <row r="117" spans="1:10" x14ac:dyDescent="0.25">
      <c r="A117" t="s">
        <v>32</v>
      </c>
      <c r="B117" t="s">
        <v>2</v>
      </c>
      <c r="C117" t="s">
        <v>3</v>
      </c>
      <c r="D117" t="s">
        <v>418</v>
      </c>
      <c r="E117" t="str" cm="1">
        <f t="array" ref="E117:F117">IF(D117="EMPTY",_xlfn._xlws.SORT(B117:C117,1,1,TRUE),_xlfn._xlws.SORT(B117:D117,1,1,TRUE))</f>
        <v>false</v>
      </c>
      <c r="F117" t="str">
        <v>true</v>
      </c>
      <c r="G117" t="s">
        <v>418</v>
      </c>
      <c r="H117">
        <f t="shared" si="2"/>
        <v>2</v>
      </c>
      <c r="I117" t="s">
        <v>379</v>
      </c>
      <c r="J117" t="str">
        <f t="shared" si="3"/>
        <v>6-clean-v0</v>
      </c>
    </row>
    <row r="118" spans="1:10" x14ac:dyDescent="0.25">
      <c r="A118" t="s">
        <v>76</v>
      </c>
      <c r="B118" t="s">
        <v>2</v>
      </c>
      <c r="C118" t="s">
        <v>3</v>
      </c>
      <c r="D118" t="s">
        <v>418</v>
      </c>
      <c r="E118" t="str" cm="1">
        <f t="array" ref="E118:F118">IF(D118="EMPTY",_xlfn._xlws.SORT(B118:C118,1,1,TRUE),_xlfn._xlws.SORT(B118:D118,1,1,TRUE))</f>
        <v>false</v>
      </c>
      <c r="F118" t="str">
        <v>true</v>
      </c>
      <c r="G118" t="s">
        <v>418</v>
      </c>
      <c r="H118">
        <f t="shared" si="2"/>
        <v>2</v>
      </c>
      <c r="I118" t="s">
        <v>379</v>
      </c>
      <c r="J118" t="str">
        <f t="shared" si="3"/>
        <v>6-clean-v1</v>
      </c>
    </row>
    <row r="119" spans="1:10" x14ac:dyDescent="0.25">
      <c r="A119" t="s">
        <v>120</v>
      </c>
      <c r="B119" t="s">
        <v>2</v>
      </c>
      <c r="C119" t="s">
        <v>3</v>
      </c>
      <c r="D119" t="s">
        <v>418</v>
      </c>
      <c r="E119" t="str" cm="1">
        <f t="array" ref="E119:F119">IF(D119="EMPTY",_xlfn._xlws.SORT(B119:C119,1,1,TRUE),_xlfn._xlws.SORT(B119:D119,1,1,TRUE))</f>
        <v>false</v>
      </c>
      <c r="F119" t="str">
        <v>true</v>
      </c>
      <c r="G119" t="s">
        <v>418</v>
      </c>
      <c r="H119">
        <f t="shared" si="2"/>
        <v>2</v>
      </c>
      <c r="I119" t="s">
        <v>379</v>
      </c>
      <c r="J119" t="str">
        <f t="shared" si="3"/>
        <v>6-clean-v2</v>
      </c>
    </row>
    <row r="120" spans="1:10" x14ac:dyDescent="0.25">
      <c r="A120" t="s">
        <v>33</v>
      </c>
      <c r="B120" t="s">
        <v>2</v>
      </c>
      <c r="C120" t="s">
        <v>3</v>
      </c>
      <c r="D120" t="s">
        <v>418</v>
      </c>
      <c r="E120" t="str" cm="1">
        <f t="array" ref="E120:F120">IF(D120="EMPTY",_xlfn._xlws.SORT(B120:C120,1,1,TRUE),_xlfn._xlws.SORT(B120:D120,1,1,TRUE))</f>
        <v>false</v>
      </c>
      <c r="F120" t="str">
        <v>true</v>
      </c>
      <c r="G120" t="s">
        <v>418</v>
      </c>
      <c r="H120">
        <f t="shared" si="2"/>
        <v>2</v>
      </c>
      <c r="I120" t="s">
        <v>379</v>
      </c>
      <c r="J120" t="str">
        <f t="shared" si="3"/>
        <v>6-obf-v0</v>
      </c>
    </row>
    <row r="121" spans="1:10" x14ac:dyDescent="0.25">
      <c r="A121" t="s">
        <v>77</v>
      </c>
      <c r="B121" t="s">
        <v>2</v>
      </c>
      <c r="C121" t="s">
        <v>3</v>
      </c>
      <c r="D121" t="s">
        <v>418</v>
      </c>
      <c r="E121" t="str" cm="1">
        <f t="array" ref="E121:F121">IF(D121="EMPTY",_xlfn._xlws.SORT(B121:C121,1,1,TRUE),_xlfn._xlws.SORT(B121:D121,1,1,TRUE))</f>
        <v>false</v>
      </c>
      <c r="F121" t="str">
        <v>true</v>
      </c>
      <c r="G121" t="s">
        <v>418</v>
      </c>
      <c r="H121">
        <f t="shared" si="2"/>
        <v>2</v>
      </c>
      <c r="I121" t="s">
        <v>379</v>
      </c>
      <c r="J121" t="str">
        <f t="shared" si="3"/>
        <v>6-obf-v1</v>
      </c>
    </row>
    <row r="122" spans="1:10" x14ac:dyDescent="0.25">
      <c r="A122" t="s">
        <v>121</v>
      </c>
      <c r="B122" t="s">
        <v>2</v>
      </c>
      <c r="C122" t="s">
        <v>3</v>
      </c>
      <c r="D122" t="s">
        <v>418</v>
      </c>
      <c r="E122" t="str" cm="1">
        <f t="array" ref="E122:F122">IF(D122="EMPTY",_xlfn._xlws.SORT(B122:C122,1,1,TRUE),_xlfn._xlws.SORT(B122:D122,1,1,TRUE))</f>
        <v>false</v>
      </c>
      <c r="F122" t="str">
        <v>true</v>
      </c>
      <c r="G122" t="s">
        <v>418</v>
      </c>
      <c r="H122">
        <f t="shared" si="2"/>
        <v>2</v>
      </c>
      <c r="I122" t="s">
        <v>379</v>
      </c>
      <c r="J122" t="str">
        <f t="shared" si="3"/>
        <v>6-obf-v2</v>
      </c>
    </row>
    <row r="123" spans="1:10" x14ac:dyDescent="0.25">
      <c r="A123" t="s">
        <v>42</v>
      </c>
      <c r="B123">
        <v>5</v>
      </c>
      <c r="C123">
        <v>6</v>
      </c>
      <c r="D123" s="6">
        <v>7</v>
      </c>
      <c r="E123" cm="1">
        <f t="array" ref="E123:G123">IF(D123="",_xlfn._xlws.SORT(B123:C123,1,1,TRUE),_xlfn._xlws.SORT(B123:D123,1,1,TRUE))</f>
        <v>5</v>
      </c>
      <c r="F123">
        <v>6</v>
      </c>
      <c r="G123">
        <v>7</v>
      </c>
      <c r="H123">
        <f t="shared" si="2"/>
        <v>1</v>
      </c>
      <c r="I123" t="s">
        <v>155</v>
      </c>
      <c r="J123" t="str">
        <f t="shared" si="3"/>
        <v>7-clean-v0</v>
      </c>
    </row>
    <row r="124" spans="1:10" x14ac:dyDescent="0.25">
      <c r="A124" t="s">
        <v>86</v>
      </c>
      <c r="B124">
        <v>7</v>
      </c>
      <c r="C124">
        <v>8</v>
      </c>
      <c r="D124" s="6">
        <v>9</v>
      </c>
      <c r="E124" cm="1">
        <f t="array" ref="E124:G124">IF(D124="",_xlfn._xlws.SORT(B124:C124,1,1,TRUE),_xlfn._xlws.SORT(B124:D124,1,1,TRUE))</f>
        <v>7</v>
      </c>
      <c r="F124">
        <v>8</v>
      </c>
      <c r="G124">
        <v>9</v>
      </c>
      <c r="H124">
        <f t="shared" si="2"/>
        <v>1</v>
      </c>
      <c r="I124" t="s">
        <v>155</v>
      </c>
      <c r="J124" t="str">
        <f t="shared" si="3"/>
        <v>7-clean-v1</v>
      </c>
    </row>
    <row r="125" spans="1:10" x14ac:dyDescent="0.25">
      <c r="A125" t="s">
        <v>130</v>
      </c>
      <c r="B125">
        <v>8</v>
      </c>
      <c r="C125">
        <v>9</v>
      </c>
      <c r="D125" s="6">
        <v>17</v>
      </c>
      <c r="E125" cm="1">
        <f t="array" ref="E125:G125">IF(D125="",_xlfn._xlws.SORT(B125:C125,1,1,TRUE),_xlfn._xlws.SORT(B125:D125,1,1,TRUE))</f>
        <v>8</v>
      </c>
      <c r="F125">
        <v>9</v>
      </c>
      <c r="G125">
        <v>17</v>
      </c>
      <c r="H125">
        <f t="shared" si="2"/>
        <v>1</v>
      </c>
      <c r="I125" t="s">
        <v>155</v>
      </c>
      <c r="J125" t="str">
        <f t="shared" si="3"/>
        <v>7-clean-v2</v>
      </c>
    </row>
    <row r="126" spans="1:10" x14ac:dyDescent="0.25">
      <c r="A126" t="s">
        <v>43</v>
      </c>
      <c r="B126">
        <v>5</v>
      </c>
      <c r="C126">
        <v>6</v>
      </c>
      <c r="D126" s="6">
        <v>7</v>
      </c>
      <c r="E126" cm="1">
        <f t="array" ref="E126:G126">IF(D126="",_xlfn._xlws.SORT(B126:C126,1,1,TRUE),_xlfn._xlws.SORT(B126:D126,1,1,TRUE))</f>
        <v>5</v>
      </c>
      <c r="F126">
        <v>6</v>
      </c>
      <c r="G126">
        <v>7</v>
      </c>
      <c r="H126">
        <f t="shared" si="2"/>
        <v>1</v>
      </c>
      <c r="I126" t="s">
        <v>155</v>
      </c>
      <c r="J126" t="str">
        <f t="shared" si="3"/>
        <v>7-obf-v0</v>
      </c>
    </row>
    <row r="127" spans="1:10" x14ac:dyDescent="0.25">
      <c r="A127" t="s">
        <v>87</v>
      </c>
      <c r="B127">
        <v>7</v>
      </c>
      <c r="C127">
        <v>8</v>
      </c>
      <c r="D127" s="6">
        <v>9</v>
      </c>
      <c r="E127" cm="1">
        <f t="array" ref="E127:G127">IF(D127="",_xlfn._xlws.SORT(B127:C127,1,1,TRUE),_xlfn._xlws.SORT(B127:D127,1,1,TRUE))</f>
        <v>7</v>
      </c>
      <c r="F127">
        <v>8</v>
      </c>
      <c r="G127">
        <v>9</v>
      </c>
      <c r="H127">
        <f t="shared" si="2"/>
        <v>1</v>
      </c>
      <c r="I127" t="s">
        <v>155</v>
      </c>
      <c r="J127" t="str">
        <f t="shared" si="3"/>
        <v>7-obf-v1</v>
      </c>
    </row>
    <row r="128" spans="1:10" x14ac:dyDescent="0.25">
      <c r="A128" t="s">
        <v>131</v>
      </c>
      <c r="B128">
        <v>8</v>
      </c>
      <c r="C128">
        <v>9</v>
      </c>
      <c r="D128" s="6">
        <v>17</v>
      </c>
      <c r="E128" cm="1">
        <f t="array" ref="E128:G128">IF(D128="",_xlfn._xlws.SORT(B128:C128,1,1,TRUE),_xlfn._xlws.SORT(B128:D128,1,1,TRUE))</f>
        <v>8</v>
      </c>
      <c r="F128">
        <v>9</v>
      </c>
      <c r="G128">
        <v>17</v>
      </c>
      <c r="H128">
        <f t="shared" si="2"/>
        <v>1</v>
      </c>
      <c r="I128" t="s">
        <v>155</v>
      </c>
      <c r="J128" t="str">
        <f t="shared" si="3"/>
        <v>7-obf-v2</v>
      </c>
    </row>
    <row r="129" spans="1:10" x14ac:dyDescent="0.25">
      <c r="A129" t="s">
        <v>44</v>
      </c>
      <c r="B129" t="s">
        <v>2</v>
      </c>
      <c r="C129" t="s">
        <v>3</v>
      </c>
      <c r="D129" t="s">
        <v>418</v>
      </c>
      <c r="E129" t="str" cm="1">
        <f t="array" ref="E129:F129">IF(D129="EMPTY",_xlfn._xlws.SORT(B129:C129,1,1,TRUE),_xlfn._xlws.SORT(B129:D129,1,1,TRUE))</f>
        <v>false</v>
      </c>
      <c r="F129" t="str">
        <v>true</v>
      </c>
      <c r="G129" t="s">
        <v>418</v>
      </c>
      <c r="H129">
        <f t="shared" si="2"/>
        <v>2</v>
      </c>
      <c r="I129" t="s">
        <v>379</v>
      </c>
      <c r="J129" t="str">
        <f t="shared" si="3"/>
        <v>8-clean-v0</v>
      </c>
    </row>
    <row r="130" spans="1:10" x14ac:dyDescent="0.25">
      <c r="A130" t="s">
        <v>88</v>
      </c>
      <c r="B130" t="s">
        <v>3</v>
      </c>
      <c r="C130" t="s">
        <v>2</v>
      </c>
      <c r="D130" t="s">
        <v>418</v>
      </c>
      <c r="E130" t="str" cm="1">
        <f t="array" ref="E130:F130">IF(D130="EMPTY",_xlfn._xlws.SORT(B130:C130,1,1,TRUE),_xlfn._xlws.SORT(B130:D130,1,1,TRUE))</f>
        <v>false</v>
      </c>
      <c r="F130" t="str">
        <v>true</v>
      </c>
      <c r="G130" t="s">
        <v>418</v>
      </c>
      <c r="H130">
        <f t="shared" si="2"/>
        <v>1</v>
      </c>
      <c r="I130" t="s">
        <v>379</v>
      </c>
      <c r="J130" t="str">
        <f t="shared" si="3"/>
        <v>8-clean-v1</v>
      </c>
    </row>
    <row r="131" spans="1:10" x14ac:dyDescent="0.25">
      <c r="A131" t="s">
        <v>132</v>
      </c>
      <c r="B131" t="s">
        <v>3</v>
      </c>
      <c r="C131" t="s">
        <v>2</v>
      </c>
      <c r="D131" t="s">
        <v>418</v>
      </c>
      <c r="E131" t="str" cm="1">
        <f t="array" ref="E131:F131">IF(D131="EMPTY",_xlfn._xlws.SORT(B131:C131,1,1,TRUE),_xlfn._xlws.SORT(B131:D131,1,1,TRUE))</f>
        <v>false</v>
      </c>
      <c r="F131" t="str">
        <v>true</v>
      </c>
      <c r="G131" t="s">
        <v>418</v>
      </c>
      <c r="H131">
        <f t="shared" si="2"/>
        <v>1</v>
      </c>
      <c r="I131" t="s">
        <v>379</v>
      </c>
      <c r="J131" t="str">
        <f t="shared" si="3"/>
        <v>8-clean-v2</v>
      </c>
    </row>
    <row r="132" spans="1:10" x14ac:dyDescent="0.25">
      <c r="A132" t="s">
        <v>45</v>
      </c>
      <c r="B132" t="s">
        <v>2</v>
      </c>
      <c r="C132" t="s">
        <v>3</v>
      </c>
      <c r="D132" t="s">
        <v>418</v>
      </c>
      <c r="E132" t="str" cm="1">
        <f t="array" ref="E132:F132">IF(D132="EMPTY",_xlfn._xlws.SORT(B132:C132,1,1,TRUE),_xlfn._xlws.SORT(B132:D132,1,1,TRUE))</f>
        <v>false</v>
      </c>
      <c r="F132" t="str">
        <v>true</v>
      </c>
      <c r="G132" t="s">
        <v>418</v>
      </c>
      <c r="H132">
        <f t="shared" ref="H132:H146" si="4">IF(B132=E132,1,IF(B132=F132,2,3))</f>
        <v>2</v>
      </c>
      <c r="I132" t="s">
        <v>379</v>
      </c>
      <c r="J132" t="str">
        <f t="shared" ref="J132:J146" si="5">LEFT(A132,LEN(A132)-4)</f>
        <v>8-obf-v0</v>
      </c>
    </row>
    <row r="133" spans="1:10" x14ac:dyDescent="0.25">
      <c r="A133" t="s">
        <v>89</v>
      </c>
      <c r="B133" t="s">
        <v>3</v>
      </c>
      <c r="C133" t="s">
        <v>2</v>
      </c>
      <c r="D133" t="s">
        <v>418</v>
      </c>
      <c r="E133" t="str" cm="1">
        <f t="array" ref="E133:F133">IF(D133="EMPTY",_xlfn._xlws.SORT(B133:C133,1,1,TRUE),_xlfn._xlws.SORT(B133:D133,1,1,TRUE))</f>
        <v>false</v>
      </c>
      <c r="F133" t="str">
        <v>true</v>
      </c>
      <c r="G133" t="s">
        <v>418</v>
      </c>
      <c r="H133">
        <f t="shared" si="4"/>
        <v>1</v>
      </c>
      <c r="I133" t="s">
        <v>379</v>
      </c>
      <c r="J133" t="str">
        <f t="shared" si="5"/>
        <v>8-obf-v1</v>
      </c>
    </row>
    <row r="134" spans="1:10" x14ac:dyDescent="0.25">
      <c r="A134" t="s">
        <v>133</v>
      </c>
      <c r="B134" t="s">
        <v>3</v>
      </c>
      <c r="C134" t="s">
        <v>2</v>
      </c>
      <c r="D134" t="s">
        <v>418</v>
      </c>
      <c r="E134" t="str" cm="1">
        <f t="array" ref="E134:F134">IF(D134="EMPTY",_xlfn._xlws.SORT(B134:C134,1,1,TRUE),_xlfn._xlws.SORT(B134:D134,1,1,TRUE))</f>
        <v>false</v>
      </c>
      <c r="F134" t="str">
        <v>true</v>
      </c>
      <c r="G134" t="s">
        <v>418</v>
      </c>
      <c r="H134">
        <f t="shared" si="4"/>
        <v>1</v>
      </c>
      <c r="I134" t="s">
        <v>379</v>
      </c>
      <c r="J134" t="str">
        <f t="shared" si="5"/>
        <v>8-obf-v2</v>
      </c>
    </row>
    <row r="135" spans="1:10" x14ac:dyDescent="0.25">
      <c r="A135" t="s">
        <v>46</v>
      </c>
      <c r="B135" t="s">
        <v>3</v>
      </c>
      <c r="C135" t="s">
        <v>2</v>
      </c>
      <c r="D135" t="s">
        <v>418</v>
      </c>
      <c r="E135" t="str" cm="1">
        <f t="array" ref="E135:F135">IF(D135="EMPTY",_xlfn._xlws.SORT(B135:C135,1,1,TRUE),_xlfn._xlws.SORT(B135:D135,1,1,TRUE))</f>
        <v>false</v>
      </c>
      <c r="F135" t="str">
        <v>true</v>
      </c>
      <c r="G135" t="s">
        <v>418</v>
      </c>
      <c r="H135">
        <f t="shared" si="4"/>
        <v>1</v>
      </c>
      <c r="I135" t="s">
        <v>379</v>
      </c>
      <c r="J135" t="str">
        <f t="shared" si="5"/>
        <v>9-clean-v0</v>
      </c>
    </row>
    <row r="136" spans="1:10" x14ac:dyDescent="0.25">
      <c r="A136" t="s">
        <v>90</v>
      </c>
      <c r="B136" t="s">
        <v>2</v>
      </c>
      <c r="C136" t="s">
        <v>3</v>
      </c>
      <c r="D136" t="s">
        <v>418</v>
      </c>
      <c r="E136" t="str" cm="1">
        <f t="array" ref="E136:F136">IF(D136="EMPTY",_xlfn._xlws.SORT(B136:C136,1,1,TRUE),_xlfn._xlws.SORT(B136:D136,1,1,TRUE))</f>
        <v>false</v>
      </c>
      <c r="F136" t="str">
        <v>true</v>
      </c>
      <c r="G136" t="s">
        <v>418</v>
      </c>
      <c r="H136">
        <f t="shared" si="4"/>
        <v>2</v>
      </c>
      <c r="I136" t="s">
        <v>379</v>
      </c>
      <c r="J136" t="str">
        <f t="shared" si="5"/>
        <v>9-clean-v1</v>
      </c>
    </row>
    <row r="137" spans="1:10" x14ac:dyDescent="0.25">
      <c r="A137" t="s">
        <v>134</v>
      </c>
      <c r="B137" t="s">
        <v>3</v>
      </c>
      <c r="C137" t="s">
        <v>2</v>
      </c>
      <c r="D137" t="s">
        <v>418</v>
      </c>
      <c r="E137" t="str" cm="1">
        <f t="array" ref="E137:F137">IF(D137="EMPTY",_xlfn._xlws.SORT(B137:C137,1,1,TRUE),_xlfn._xlws.SORT(B137:D137,1,1,TRUE))</f>
        <v>false</v>
      </c>
      <c r="F137" t="str">
        <v>true</v>
      </c>
      <c r="G137" t="s">
        <v>418</v>
      </c>
      <c r="H137">
        <f t="shared" si="4"/>
        <v>1</v>
      </c>
      <c r="I137" t="s">
        <v>379</v>
      </c>
      <c r="J137" t="str">
        <f t="shared" si="5"/>
        <v>9-clean-v2</v>
      </c>
    </row>
    <row r="138" spans="1:10" x14ac:dyDescent="0.25">
      <c r="A138" t="s">
        <v>47</v>
      </c>
      <c r="B138" t="s">
        <v>3</v>
      </c>
      <c r="C138" t="s">
        <v>2</v>
      </c>
      <c r="D138" t="s">
        <v>418</v>
      </c>
      <c r="E138" t="str" cm="1">
        <f t="array" ref="E138:F138">IF(D138="EMPTY",_xlfn._xlws.SORT(B138:C138,1,1,TRUE),_xlfn._xlws.SORT(B138:D138,1,1,TRUE))</f>
        <v>false</v>
      </c>
      <c r="F138" t="str">
        <v>true</v>
      </c>
      <c r="G138" t="s">
        <v>418</v>
      </c>
      <c r="H138">
        <f t="shared" si="4"/>
        <v>1</v>
      </c>
      <c r="I138" t="s">
        <v>379</v>
      </c>
      <c r="J138" t="str">
        <f t="shared" si="5"/>
        <v>9-obf-v0</v>
      </c>
    </row>
    <row r="139" spans="1:10" x14ac:dyDescent="0.25">
      <c r="A139" t="s">
        <v>91</v>
      </c>
      <c r="B139" t="s">
        <v>2</v>
      </c>
      <c r="C139" t="s">
        <v>3</v>
      </c>
      <c r="D139" t="s">
        <v>418</v>
      </c>
      <c r="E139" t="str" cm="1">
        <f t="array" ref="E139:F139">IF(D139="EMPTY",_xlfn._xlws.SORT(B139:C139,1,1,TRUE),_xlfn._xlws.SORT(B139:D139,1,1,TRUE))</f>
        <v>false</v>
      </c>
      <c r="F139" t="str">
        <v>true</v>
      </c>
      <c r="G139" t="s">
        <v>418</v>
      </c>
      <c r="H139">
        <f t="shared" si="4"/>
        <v>2</v>
      </c>
      <c r="I139" t="s">
        <v>379</v>
      </c>
      <c r="J139" t="str">
        <f t="shared" si="5"/>
        <v>9-obf-v1</v>
      </c>
    </row>
    <row r="140" spans="1:10" x14ac:dyDescent="0.25">
      <c r="A140" t="s">
        <v>135</v>
      </c>
      <c r="B140" t="s">
        <v>3</v>
      </c>
      <c r="C140" t="s">
        <v>2</v>
      </c>
      <c r="D140" t="s">
        <v>418</v>
      </c>
      <c r="E140" t="str" cm="1">
        <f t="array" ref="E140:F140">IF(D140="EMPTY",_xlfn._xlws.SORT(B140:C140,1,1,TRUE),_xlfn._xlws.SORT(B140:D140,1,1,TRUE))</f>
        <v>false</v>
      </c>
      <c r="F140" t="str">
        <v>true</v>
      </c>
      <c r="G140" t="s">
        <v>418</v>
      </c>
      <c r="H140">
        <f t="shared" si="4"/>
        <v>1</v>
      </c>
      <c r="I140" t="s">
        <v>379</v>
      </c>
      <c r="J140" t="str">
        <f t="shared" si="5"/>
        <v>9-obf-v2</v>
      </c>
    </row>
    <row r="141" spans="1:10" x14ac:dyDescent="0.25">
      <c r="A141" t="s">
        <v>136</v>
      </c>
      <c r="B141" t="s">
        <v>2</v>
      </c>
      <c r="C141" t="s">
        <v>3</v>
      </c>
      <c r="D141" t="s">
        <v>418</v>
      </c>
      <c r="E141" t="str" cm="1">
        <f t="array" ref="E141:F141">IF(D141="EMPTY",_xlfn._xlws.SORT(B141:C141,1,1,TRUE),_xlfn._xlws.SORT(B141:D141,1,1,TRUE))</f>
        <v>false</v>
      </c>
      <c r="F141" t="str">
        <v>true</v>
      </c>
      <c r="G141" t="s">
        <v>418</v>
      </c>
      <c r="H141">
        <f t="shared" si="4"/>
        <v>2</v>
      </c>
      <c r="I141" t="s">
        <v>379</v>
      </c>
      <c r="J141" t="str">
        <f t="shared" si="5"/>
        <v>-clean-v0</v>
      </c>
    </row>
    <row r="142" spans="1:10" x14ac:dyDescent="0.25">
      <c r="A142" t="s">
        <v>145</v>
      </c>
      <c r="B142" t="s">
        <v>3</v>
      </c>
      <c r="C142" t="s">
        <v>2</v>
      </c>
      <c r="D142" t="s">
        <v>418</v>
      </c>
      <c r="E142" t="str" cm="1">
        <f t="array" ref="E142:F142">IF(D142="EMPTY",_xlfn._xlws.SORT(B142:C142,1,1,TRUE),_xlfn._xlws.SORT(B142:D142,1,1,TRUE))</f>
        <v>false</v>
      </c>
      <c r="F142" t="str">
        <v>true</v>
      </c>
      <c r="G142" t="s">
        <v>418</v>
      </c>
      <c r="H142">
        <f t="shared" si="4"/>
        <v>1</v>
      </c>
      <c r="I142" t="s">
        <v>379</v>
      </c>
      <c r="J142" t="str">
        <f t="shared" si="5"/>
        <v>-clean-v1</v>
      </c>
    </row>
    <row r="143" spans="1:10" x14ac:dyDescent="0.25">
      <c r="A143" t="s">
        <v>147</v>
      </c>
      <c r="B143" t="s">
        <v>3</v>
      </c>
      <c r="C143" t="s">
        <v>2</v>
      </c>
      <c r="D143" t="s">
        <v>418</v>
      </c>
      <c r="E143" t="str" cm="1">
        <f t="array" ref="E143:F143">IF(D143="EMPTY",_xlfn._xlws.SORT(B143:C143,1,1,TRUE),_xlfn._xlws.SORT(B143:D143,1,1,TRUE))</f>
        <v>false</v>
      </c>
      <c r="F143" t="str">
        <v>true</v>
      </c>
      <c r="G143" t="s">
        <v>418</v>
      </c>
      <c r="H143">
        <f t="shared" si="4"/>
        <v>1</v>
      </c>
      <c r="I143" t="s">
        <v>379</v>
      </c>
      <c r="J143" t="str">
        <f t="shared" si="5"/>
        <v>-clean-v2</v>
      </c>
    </row>
    <row r="144" spans="1:10" x14ac:dyDescent="0.25">
      <c r="A144" t="s">
        <v>137</v>
      </c>
      <c r="B144" t="s">
        <v>2</v>
      </c>
      <c r="C144" t="s">
        <v>3</v>
      </c>
      <c r="D144" t="s">
        <v>418</v>
      </c>
      <c r="E144" t="str" cm="1">
        <f t="array" ref="E144:F144">IF(D144="EMPTY",_xlfn._xlws.SORT(B144:C144,1,1,TRUE),_xlfn._xlws.SORT(B144:D144,1,1,TRUE))</f>
        <v>false</v>
      </c>
      <c r="F144" t="str">
        <v>true</v>
      </c>
      <c r="G144" t="s">
        <v>418</v>
      </c>
      <c r="H144">
        <f t="shared" si="4"/>
        <v>2</v>
      </c>
      <c r="I144" t="s">
        <v>379</v>
      </c>
      <c r="J144" t="str">
        <f t="shared" si="5"/>
        <v>-obf-v0</v>
      </c>
    </row>
    <row r="145" spans="1:10" x14ac:dyDescent="0.25">
      <c r="A145" t="s">
        <v>146</v>
      </c>
      <c r="B145" t="s">
        <v>3</v>
      </c>
      <c r="C145" t="s">
        <v>2</v>
      </c>
      <c r="D145" t="s">
        <v>418</v>
      </c>
      <c r="E145" t="str" cm="1">
        <f t="array" ref="E145:F145">IF(D145="EMPTY",_xlfn._xlws.SORT(B145:C145,1,1,TRUE),_xlfn._xlws.SORT(B145:D145,1,1,TRUE))</f>
        <v>false</v>
      </c>
      <c r="F145" t="str">
        <v>true</v>
      </c>
      <c r="G145" t="s">
        <v>418</v>
      </c>
      <c r="H145">
        <f t="shared" si="4"/>
        <v>1</v>
      </c>
      <c r="I145" t="s">
        <v>379</v>
      </c>
      <c r="J145" t="str">
        <f t="shared" si="5"/>
        <v>-obf-v1</v>
      </c>
    </row>
    <row r="146" spans="1:10" x14ac:dyDescent="0.25">
      <c r="A146" t="s">
        <v>148</v>
      </c>
      <c r="B146" t="s">
        <v>3</v>
      </c>
      <c r="C146" t="s">
        <v>2</v>
      </c>
      <c r="D146" t="s">
        <v>418</v>
      </c>
      <c r="E146" t="str" cm="1">
        <f t="array" ref="E146:F146">IF(D146="EMPTY",_xlfn._xlws.SORT(B146:C146,1,1,TRUE),_xlfn._xlws.SORT(B146:D146,1,1,TRUE))</f>
        <v>false</v>
      </c>
      <c r="F146" t="str">
        <v>true</v>
      </c>
      <c r="G146" t="s">
        <v>418</v>
      </c>
      <c r="H146">
        <f t="shared" si="4"/>
        <v>1</v>
      </c>
      <c r="I146" t="s">
        <v>379</v>
      </c>
      <c r="J146" t="str">
        <f t="shared" si="5"/>
        <v>-obf-v2</v>
      </c>
    </row>
  </sheetData>
  <autoFilter ref="A2:J146" xr:uid="{F355A22C-3B21-4246-9483-049A158500E0}"/>
  <phoneticPr fontId="18" type="noConversion"/>
  <conditionalFormatting sqref="H3:H146">
    <cfRule type="cellIs" dxfId="18" priority="1" operator="equal">
      <formula>2</formula>
    </cfRule>
  </conditionalFormatting>
  <pageMargins left="0.7" right="0.7" top="0.78740157499999996" bottom="0.78740157499999996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snippets</vt:lpstr>
      <vt:lpstr>Result_check</vt:lpstr>
      <vt:lpstr>P003 P004</vt:lpstr>
      <vt:lpstr>Answer_Button_Distribution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Anna-Maria Maurer</dc:creator>
  <cp:lastModifiedBy>Anna-Maria Maurer</cp:lastModifiedBy>
  <dcterms:created xsi:type="dcterms:W3CDTF">2023-05-15T19:59:50Z</dcterms:created>
  <dcterms:modified xsi:type="dcterms:W3CDTF">2023-09-08T11:54:19Z</dcterms:modified>
</cp:coreProperties>
</file>